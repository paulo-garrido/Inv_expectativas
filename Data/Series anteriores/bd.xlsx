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ogarridogrijalva/Documents/PES/seminario/Proyecto/Data/"/>
    </mc:Choice>
  </mc:AlternateContent>
  <xr:revisionPtr revIDLastSave="0" documentId="13_ncr:1_{84EB370C-0B41-2141-B63F-EDDAA1346278}" xr6:coauthVersionLast="47" xr6:coauthVersionMax="47" xr10:uidLastSave="{00000000-0000-0000-0000-000000000000}"/>
  <bookViews>
    <workbookView xWindow="0" yWindow="500" windowWidth="28800" windowHeight="17500" xr2:uid="{D4002571-EABC-404A-8D18-0E5329FC539B}"/>
  </bookViews>
  <sheets>
    <sheet name="BD" sheetId="1" r:id="rId1"/>
    <sheet name="Hoja1" sheetId="3" r:id="rId2"/>
  </sheets>
  <externalReferences>
    <externalReference r:id="rId3"/>
  </externalReferences>
  <definedNames>
    <definedName name="_xlnm._FilterDatabase" localSheetId="1" hidden="1">Hoja1!$B$2:$C$102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4" i="3" l="1"/>
  <c r="I193" i="3"/>
  <c r="K193" i="3" s="1"/>
  <c r="K194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I4" i="3" a="1"/>
  <c r="I11" i="3" l="1"/>
  <c r="I19" i="3"/>
  <c r="I27" i="3"/>
  <c r="I35" i="3"/>
  <c r="I43" i="3"/>
  <c r="I51" i="3"/>
  <c r="I59" i="3"/>
  <c r="I67" i="3"/>
  <c r="I75" i="3"/>
  <c r="I83" i="3"/>
  <c r="I91" i="3"/>
  <c r="I99" i="3"/>
  <c r="I107" i="3"/>
  <c r="I115" i="3"/>
  <c r="I123" i="3"/>
  <c r="I131" i="3"/>
  <c r="I139" i="3"/>
  <c r="I147" i="3"/>
  <c r="I155" i="3"/>
  <c r="I163" i="3"/>
  <c r="I171" i="3"/>
  <c r="I179" i="3"/>
  <c r="I187" i="3"/>
  <c r="I80" i="3"/>
  <c r="I136" i="3"/>
  <c r="I184" i="3"/>
  <c r="I33" i="3"/>
  <c r="I73" i="3"/>
  <c r="I113" i="3"/>
  <c r="I145" i="3"/>
  <c r="I169" i="3"/>
  <c r="I26" i="3"/>
  <c r="I4" i="3"/>
  <c r="I12" i="3"/>
  <c r="I20" i="3"/>
  <c r="I28" i="3"/>
  <c r="I36" i="3"/>
  <c r="I44" i="3"/>
  <c r="I52" i="3"/>
  <c r="I60" i="3"/>
  <c r="I68" i="3"/>
  <c r="I76" i="3"/>
  <c r="I84" i="3"/>
  <c r="I92" i="3"/>
  <c r="I100" i="3"/>
  <c r="I108" i="3"/>
  <c r="I116" i="3"/>
  <c r="I124" i="3"/>
  <c r="I132" i="3"/>
  <c r="I140" i="3"/>
  <c r="I148" i="3"/>
  <c r="I156" i="3"/>
  <c r="I164" i="3"/>
  <c r="I172" i="3"/>
  <c r="I180" i="3"/>
  <c r="I188" i="3"/>
  <c r="I13" i="3"/>
  <c r="I21" i="3"/>
  <c r="I29" i="3"/>
  <c r="I37" i="3"/>
  <c r="I45" i="3"/>
  <c r="I53" i="3"/>
  <c r="I61" i="3"/>
  <c r="I69" i="3"/>
  <c r="I77" i="3"/>
  <c r="I93" i="3"/>
  <c r="I101" i="3"/>
  <c r="I109" i="3"/>
  <c r="I117" i="3"/>
  <c r="I125" i="3"/>
  <c r="I133" i="3"/>
  <c r="I141" i="3"/>
  <c r="I149" i="3"/>
  <c r="I157" i="3"/>
  <c r="I173" i="3"/>
  <c r="I181" i="3"/>
  <c r="I189" i="3"/>
  <c r="I14" i="3"/>
  <c r="I22" i="3"/>
  <c r="I30" i="3"/>
  <c r="I38" i="3"/>
  <c r="I46" i="3"/>
  <c r="I54" i="3"/>
  <c r="I62" i="3"/>
  <c r="I78" i="3"/>
  <c r="I86" i="3"/>
  <c r="I94" i="3"/>
  <c r="I110" i="3"/>
  <c r="I126" i="3"/>
  <c r="I142" i="3"/>
  <c r="I166" i="3"/>
  <c r="I190" i="3"/>
  <c r="I15" i="3"/>
  <c r="I31" i="3"/>
  <c r="I47" i="3"/>
  <c r="I63" i="3"/>
  <c r="I79" i="3"/>
  <c r="I103" i="3"/>
  <c r="I119" i="3"/>
  <c r="I135" i="3"/>
  <c r="I151" i="3"/>
  <c r="I175" i="3"/>
  <c r="I183" i="3"/>
  <c r="I8" i="3"/>
  <c r="I32" i="3"/>
  <c r="I48" i="3"/>
  <c r="I72" i="3"/>
  <c r="I96" i="3"/>
  <c r="I120" i="3"/>
  <c r="I152" i="3"/>
  <c r="I168" i="3"/>
  <c r="I17" i="3"/>
  <c r="I49" i="3"/>
  <c r="I89" i="3"/>
  <c r="I121" i="3"/>
  <c r="I153" i="3"/>
  <c r="I34" i="3"/>
  <c r="I5" i="3"/>
  <c r="I85" i="3"/>
  <c r="I165" i="3"/>
  <c r="I70" i="3"/>
  <c r="I102" i="3"/>
  <c r="I118" i="3"/>
  <c r="I134" i="3"/>
  <c r="I150" i="3"/>
  <c r="I158" i="3"/>
  <c r="I174" i="3"/>
  <c r="I182" i="3"/>
  <c r="I7" i="3"/>
  <c r="I23" i="3"/>
  <c r="I39" i="3"/>
  <c r="I55" i="3"/>
  <c r="I71" i="3"/>
  <c r="I87" i="3"/>
  <c r="I95" i="3"/>
  <c r="I111" i="3"/>
  <c r="I127" i="3"/>
  <c r="I143" i="3"/>
  <c r="I167" i="3"/>
  <c r="I16" i="3"/>
  <c r="I40" i="3"/>
  <c r="I64" i="3"/>
  <c r="I104" i="3"/>
  <c r="I128" i="3"/>
  <c r="I160" i="3"/>
  <c r="I192" i="3"/>
  <c r="I25" i="3"/>
  <c r="I57" i="3"/>
  <c r="I81" i="3"/>
  <c r="I105" i="3"/>
  <c r="I129" i="3"/>
  <c r="I161" i="3"/>
  <c r="I185" i="3"/>
  <c r="I10" i="3"/>
  <c r="I42" i="3"/>
  <c r="I66" i="3"/>
  <c r="I6" i="3"/>
  <c r="I159" i="3"/>
  <c r="I191" i="3"/>
  <c r="I24" i="3"/>
  <c r="I56" i="3"/>
  <c r="I88" i="3"/>
  <c r="I112" i="3"/>
  <c r="I144" i="3"/>
  <c r="I176" i="3"/>
  <c r="I9" i="3"/>
  <c r="I41" i="3"/>
  <c r="I65" i="3"/>
  <c r="I97" i="3"/>
  <c r="I137" i="3"/>
  <c r="I177" i="3"/>
  <c r="I18" i="3"/>
  <c r="I50" i="3"/>
  <c r="I58" i="3"/>
  <c r="I130" i="3"/>
  <c r="I82" i="3"/>
  <c r="I90" i="3"/>
  <c r="I162" i="3"/>
  <c r="I170" i="3"/>
  <c r="I178" i="3"/>
  <c r="I74" i="3"/>
  <c r="I138" i="3"/>
  <c r="I154" i="3"/>
  <c r="I98" i="3"/>
  <c r="I106" i="3"/>
  <c r="I114" i="3"/>
  <c r="I122" i="3"/>
  <c r="I146" i="3"/>
  <c r="I186" i="3"/>
</calcChain>
</file>

<file path=xl/sharedStrings.xml><?xml version="1.0" encoding="utf-8"?>
<sst xmlns="http://schemas.openxmlformats.org/spreadsheetml/2006/main" count="182" uniqueCount="118">
  <si>
    <t>exp_12</t>
  </si>
  <si>
    <t>exp_24</t>
  </si>
  <si>
    <t>inf</t>
  </si>
  <si>
    <t>Tasa_pol</t>
  </si>
  <si>
    <t>imae</t>
  </si>
  <si>
    <t>def_fisc</t>
  </si>
  <si>
    <t>tc</t>
  </si>
  <si>
    <t>ff_rates</t>
  </si>
  <si>
    <t>inf_usa</t>
  </si>
  <si>
    <t>wti_usd_bbl</t>
  </si>
  <si>
    <t>Período</t>
  </si>
  <si>
    <t>PIB 
Trimestral</t>
  </si>
  <si>
    <t>2001-I</t>
  </si>
  <si>
    <t>2001-II</t>
  </si>
  <si>
    <t>2001-III</t>
  </si>
  <si>
    <t>2001-IV</t>
  </si>
  <si>
    <t>2002-I</t>
  </si>
  <si>
    <t>2002-II</t>
  </si>
  <si>
    <t>2002-III</t>
  </si>
  <si>
    <t>2002-IV</t>
  </si>
  <si>
    <t>2003-I</t>
  </si>
  <si>
    <t>2003-II</t>
  </si>
  <si>
    <t>2003-III</t>
  </si>
  <si>
    <t>2003-IV</t>
  </si>
  <si>
    <t>2004-I</t>
  </si>
  <si>
    <t>2004-II</t>
  </si>
  <si>
    <t>2004-III</t>
  </si>
  <si>
    <t>2004-IV</t>
  </si>
  <si>
    <t>2005-I</t>
  </si>
  <si>
    <t>2005-II</t>
  </si>
  <si>
    <t>2005-III</t>
  </si>
  <si>
    <t>2005-IV</t>
  </si>
  <si>
    <t>2006-I</t>
  </si>
  <si>
    <t>2006-II</t>
  </si>
  <si>
    <t>2006-III</t>
  </si>
  <si>
    <t>2006-IV</t>
  </si>
  <si>
    <t>2007-I</t>
  </si>
  <si>
    <t>2007-II</t>
  </si>
  <si>
    <t>2007-III</t>
  </si>
  <si>
    <t>2007-IV</t>
  </si>
  <si>
    <t>2008-I</t>
  </si>
  <si>
    <t>2008-II</t>
  </si>
  <si>
    <t>2008-III</t>
  </si>
  <si>
    <t>2008-IV</t>
  </si>
  <si>
    <t>2009-I</t>
  </si>
  <si>
    <t>2009-II</t>
  </si>
  <si>
    <t>2009-III</t>
  </si>
  <si>
    <t>2009-IV</t>
  </si>
  <si>
    <t>2010-I</t>
  </si>
  <si>
    <t>2010-II</t>
  </si>
  <si>
    <t>2010-III</t>
  </si>
  <si>
    <t>2010-IV</t>
  </si>
  <si>
    <t>2011-I</t>
  </si>
  <si>
    <t>2011-II</t>
  </si>
  <si>
    <t>2011-III</t>
  </si>
  <si>
    <t>2011-IV</t>
  </si>
  <si>
    <t>2012-I</t>
  </si>
  <si>
    <t>2012-II</t>
  </si>
  <si>
    <t>2012-III</t>
  </si>
  <si>
    <t>2012-IV</t>
  </si>
  <si>
    <t>2013-I</t>
  </si>
  <si>
    <t>2013-II</t>
  </si>
  <si>
    <t>2013-III</t>
  </si>
  <si>
    <t>2013-IV</t>
  </si>
  <si>
    <t>2014-I</t>
  </si>
  <si>
    <t>2014-II</t>
  </si>
  <si>
    <t>2014-III</t>
  </si>
  <si>
    <t>2014-IV</t>
  </si>
  <si>
    <t>2015-I</t>
  </si>
  <si>
    <t>2015-II</t>
  </si>
  <si>
    <t>2015-III</t>
  </si>
  <si>
    <t>2015-IV</t>
  </si>
  <si>
    <t>2016-I</t>
  </si>
  <si>
    <t>2016-II</t>
  </si>
  <si>
    <t>2016-III</t>
  </si>
  <si>
    <t>2016-IV</t>
  </si>
  <si>
    <t>2017-I</t>
  </si>
  <si>
    <t>2017-II</t>
  </si>
  <si>
    <t>2017-III</t>
  </si>
  <si>
    <t>2017-IV</t>
  </si>
  <si>
    <t>2018-I</t>
  </si>
  <si>
    <t>2018-II</t>
  </si>
  <si>
    <t>2018-III</t>
  </si>
  <si>
    <t>2018-IV</t>
  </si>
  <si>
    <t>2019-I</t>
  </si>
  <si>
    <t>2019-II</t>
  </si>
  <si>
    <t>2019-III</t>
  </si>
  <si>
    <t>2019-IV</t>
  </si>
  <si>
    <t>2020-I</t>
  </si>
  <si>
    <t>2020-II</t>
  </si>
  <si>
    <t>2020-III</t>
  </si>
  <si>
    <t>2020-IV</t>
  </si>
  <si>
    <t>2021-I</t>
  </si>
  <si>
    <t>2021-II</t>
  </si>
  <si>
    <t>2021-III</t>
  </si>
  <si>
    <t>2021-IV</t>
  </si>
  <si>
    <t>2022-I</t>
  </si>
  <si>
    <t>2022-II</t>
  </si>
  <si>
    <t>2022-III</t>
  </si>
  <si>
    <t>2022-IV</t>
  </si>
  <si>
    <t>2023-I</t>
  </si>
  <si>
    <t>2023-II</t>
  </si>
  <si>
    <t>2023-III</t>
  </si>
  <si>
    <t>2023-IV</t>
  </si>
  <si>
    <t>2024-I</t>
  </si>
  <si>
    <t>2024-II</t>
  </si>
  <si>
    <t>2024-III</t>
  </si>
  <si>
    <t>2024-IV</t>
  </si>
  <si>
    <t>2025-I</t>
  </si>
  <si>
    <t>2025-II</t>
  </si>
  <si>
    <t>2025-III</t>
  </si>
  <si>
    <t>-</t>
  </si>
  <si>
    <t>*</t>
  </si>
  <si>
    <t>deficit_pct_pib</t>
  </si>
  <si>
    <t>PIB anual</t>
  </si>
  <si>
    <t>Deficit fiscal</t>
  </si>
  <si>
    <t>% deficit fiscal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</si>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</sst>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XLPBM_t.xla" TargetMode="External"/><Relationship Id="rId2" Type="http://schemas.openxmlformats.org/officeDocument/2006/relationships/externalLinkPath" Target="/Users/paulogarridogrijalva/Downloads/XLPBM_t.xla" TargetMode="External"/><Relationship Id="rId1" Type="http://schemas.openxmlformats.org/officeDocument/2006/relationships/externalLinkPath" Target="/Users/paulogarridogrijalva/Downloads/XLPBM_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  <sheetName val="XLPBM_t"/>
    </sheetNames>
    <definedNames>
      <definedName name="XLPBM_t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40E5-F087-6841-ACAC-B93CE883846E}">
  <dimension ref="A1:R1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baseColWidth="10" defaultRowHeight="16" x14ac:dyDescent="0.2"/>
  <cols>
    <col min="7" max="7" width="13.33203125" bestFit="1" customWidth="1"/>
  </cols>
  <sheetData>
    <row r="1" spans="1:18" x14ac:dyDescent="0.2">
      <c r="A1" t="s">
        <v>117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113</v>
      </c>
      <c r="H1" t="s">
        <v>6</v>
      </c>
      <c r="I1" t="s">
        <v>7</v>
      </c>
      <c r="J1" t="s">
        <v>8</v>
      </c>
      <c r="K1" t="s">
        <v>9</v>
      </c>
      <c r="L1" t="s">
        <v>5</v>
      </c>
    </row>
    <row r="2" spans="1:18" x14ac:dyDescent="0.2">
      <c r="A2" s="1">
        <v>40179</v>
      </c>
      <c r="B2">
        <v>3.34</v>
      </c>
      <c r="C2">
        <v>3.77</v>
      </c>
      <c r="D2">
        <v>1.43</v>
      </c>
      <c r="F2">
        <v>88.4</v>
      </c>
      <c r="G2" s="5">
        <v>1.3992383802527075</v>
      </c>
      <c r="H2">
        <v>8.3669835483870969</v>
      </c>
      <c r="I2">
        <v>0.1168421052631579</v>
      </c>
      <c r="J2">
        <v>2.6211113889767148</v>
      </c>
      <c r="K2">
        <v>78.32578947368421</v>
      </c>
      <c r="L2">
        <v>386.30000000000018</v>
      </c>
    </row>
    <row r="3" spans="1:18" x14ac:dyDescent="0.2">
      <c r="A3" s="1">
        <v>40210</v>
      </c>
      <c r="B3">
        <v>3.97</v>
      </c>
      <c r="C3">
        <v>4.25</v>
      </c>
      <c r="D3">
        <v>2.48</v>
      </c>
      <c r="F3">
        <v>87.1</v>
      </c>
      <c r="G3" s="5">
        <v>-2.7115079903801886</v>
      </c>
      <c r="H3">
        <v>8.1594446428571441</v>
      </c>
      <c r="I3">
        <v>0.12631578947368419</v>
      </c>
      <c r="J3">
        <v>2.1513363578665263</v>
      </c>
      <c r="K3">
        <v>76.387368421052628</v>
      </c>
      <c r="L3">
        <v>-734.60000000000036</v>
      </c>
    </row>
    <row r="4" spans="1:18" x14ac:dyDescent="0.2">
      <c r="A4" s="1">
        <v>40238</v>
      </c>
      <c r="B4">
        <v>5.39</v>
      </c>
      <c r="C4">
        <v>6.26</v>
      </c>
      <c r="D4">
        <v>3.93</v>
      </c>
      <c r="F4">
        <v>94.2</v>
      </c>
      <c r="G4" s="5">
        <v>-2.89599386110859</v>
      </c>
      <c r="H4">
        <v>8.0300435483870967</v>
      </c>
      <c r="I4">
        <v>0.16173913043478261</v>
      </c>
      <c r="J4">
        <v>2.2861714393279868</v>
      </c>
      <c r="K4">
        <v>81.203478260869559</v>
      </c>
      <c r="L4">
        <v>-841.69999999999936</v>
      </c>
      <c r="R4" s="3"/>
    </row>
    <row r="5" spans="1:18" x14ac:dyDescent="0.2">
      <c r="A5" s="1">
        <v>40269</v>
      </c>
      <c r="B5">
        <v>5.04</v>
      </c>
      <c r="C5">
        <v>5.81</v>
      </c>
      <c r="D5">
        <v>3.75</v>
      </c>
      <c r="F5">
        <v>89.7</v>
      </c>
      <c r="G5" s="5">
        <v>2.4448938143061665</v>
      </c>
      <c r="H5">
        <v>8.0001013333333315</v>
      </c>
      <c r="I5">
        <v>0.1977272727272727</v>
      </c>
      <c r="J5">
        <v>2.2067707525304456</v>
      </c>
      <c r="K5">
        <v>84.292857142857144</v>
      </c>
      <c r="L5">
        <v>668.19999999999982</v>
      </c>
      <c r="Q5" s="4"/>
      <c r="R5" s="3"/>
    </row>
    <row r="6" spans="1:18" x14ac:dyDescent="0.2">
      <c r="A6" s="1">
        <v>40299</v>
      </c>
      <c r="B6">
        <v>5.36</v>
      </c>
      <c r="C6">
        <v>5.7</v>
      </c>
      <c r="D6">
        <v>3.51</v>
      </c>
      <c r="F6">
        <v>88.3</v>
      </c>
      <c r="G6" s="5">
        <v>-7.7918518873549711</v>
      </c>
      <c r="H6">
        <v>8.000755483870968</v>
      </c>
      <c r="I6">
        <v>0.20250000000000001</v>
      </c>
      <c r="J6">
        <v>2.0035489292185673</v>
      </c>
      <c r="K6">
        <v>73.743499999999997</v>
      </c>
      <c r="L6">
        <v>-2090.7999999999988</v>
      </c>
      <c r="Q6" s="4"/>
      <c r="R6" s="3"/>
    </row>
    <row r="7" spans="1:18" x14ac:dyDescent="0.2">
      <c r="A7" s="1">
        <v>40330</v>
      </c>
      <c r="B7">
        <v>4.8099999999999996</v>
      </c>
      <c r="C7">
        <v>5.45</v>
      </c>
      <c r="D7">
        <v>4.07</v>
      </c>
      <c r="F7">
        <v>87.5</v>
      </c>
      <c r="G7" s="5">
        <v>-1.7806263305494137</v>
      </c>
      <c r="H7">
        <v>8.0089690000000022</v>
      </c>
      <c r="I7">
        <v>0.17636363636363639</v>
      </c>
      <c r="J7">
        <v>1.121560594068626</v>
      </c>
      <c r="K7">
        <v>75.335909090909098</v>
      </c>
      <c r="L7">
        <v>-476.89999999999918</v>
      </c>
      <c r="Q7" s="4"/>
      <c r="R7" s="3"/>
    </row>
    <row r="8" spans="1:18" x14ac:dyDescent="0.2">
      <c r="A8" s="1">
        <v>40360</v>
      </c>
      <c r="B8">
        <v>4.8899999999999997</v>
      </c>
      <c r="C8">
        <v>5.1100000000000003</v>
      </c>
      <c r="D8">
        <v>4.12</v>
      </c>
      <c r="F8">
        <v>88.1</v>
      </c>
      <c r="G8" s="5">
        <v>-2.5654134608185277</v>
      </c>
      <c r="H8">
        <v>8.0062787096774191</v>
      </c>
      <c r="I8">
        <v>0.1819047619047619</v>
      </c>
      <c r="J8">
        <v>1.3407784804821006</v>
      </c>
      <c r="K8">
        <v>76.319523809523815</v>
      </c>
      <c r="L8">
        <v>-703.50000000000182</v>
      </c>
      <c r="Q8" s="4"/>
      <c r="R8" s="3"/>
    </row>
    <row r="9" spans="1:18" x14ac:dyDescent="0.2">
      <c r="A9" s="1">
        <v>40391</v>
      </c>
      <c r="B9">
        <v>5.35</v>
      </c>
      <c r="C9">
        <v>5.57</v>
      </c>
      <c r="D9">
        <v>4.0999999999999996</v>
      </c>
      <c r="F9">
        <v>87.3</v>
      </c>
      <c r="G9" s="5">
        <v>-5.8615339169090515</v>
      </c>
      <c r="H9">
        <v>8.0163958064516141</v>
      </c>
      <c r="I9">
        <v>0.18954545454545449</v>
      </c>
      <c r="J9">
        <v>1.1501775395112475</v>
      </c>
      <c r="K9">
        <v>76.599090909090904</v>
      </c>
      <c r="L9">
        <v>-1606.600000000001</v>
      </c>
      <c r="Q9" s="4"/>
      <c r="R9" s="3"/>
    </row>
    <row r="10" spans="1:18" x14ac:dyDescent="0.2">
      <c r="A10" s="1">
        <v>40422</v>
      </c>
      <c r="B10">
        <v>5.89</v>
      </c>
      <c r="C10">
        <v>5.68</v>
      </c>
      <c r="D10">
        <v>3.76</v>
      </c>
      <c r="F10">
        <v>87</v>
      </c>
      <c r="G10" s="5">
        <v>-3.2879223346707653</v>
      </c>
      <c r="H10">
        <v>8.0709206666666642</v>
      </c>
      <c r="I10">
        <v>0.19380952380952379</v>
      </c>
      <c r="J10">
        <v>1.1183122472331775</v>
      </c>
      <c r="K10">
        <v>75.241904761904763</v>
      </c>
      <c r="L10">
        <v>-898.80000000000064</v>
      </c>
      <c r="Q10" s="4"/>
      <c r="R10" s="3"/>
    </row>
    <row r="11" spans="1:18" x14ac:dyDescent="0.2">
      <c r="A11" s="1">
        <v>40452</v>
      </c>
      <c r="B11">
        <v>5.96</v>
      </c>
      <c r="C11">
        <v>5.89</v>
      </c>
      <c r="D11">
        <v>4.51</v>
      </c>
      <c r="F11">
        <v>88.7</v>
      </c>
      <c r="G11" s="5">
        <v>-1.0699022875971076</v>
      </c>
      <c r="H11">
        <v>8.0702090322580666</v>
      </c>
      <c r="I11">
        <v>0.1905</v>
      </c>
      <c r="J11">
        <v>1.166695148931467</v>
      </c>
      <c r="K11">
        <v>81.892857142857139</v>
      </c>
      <c r="L11">
        <v>-296.10000000000082</v>
      </c>
      <c r="Q11" s="4"/>
      <c r="R11" s="3"/>
    </row>
    <row r="12" spans="1:18" x14ac:dyDescent="0.2">
      <c r="A12" s="1">
        <v>40483</v>
      </c>
      <c r="B12">
        <v>5.95</v>
      </c>
      <c r="C12">
        <v>6.22</v>
      </c>
      <c r="D12">
        <v>5.25</v>
      </c>
      <c r="F12">
        <v>91.3</v>
      </c>
      <c r="G12" s="5">
        <v>-5.647165718962289</v>
      </c>
      <c r="H12">
        <v>8.0102596666666663</v>
      </c>
      <c r="I12">
        <v>0.19500000000000001</v>
      </c>
      <c r="J12">
        <v>1.0845447766003389</v>
      </c>
      <c r="K12">
        <v>84.252857142857138</v>
      </c>
      <c r="L12">
        <v>-1612.7999999999979</v>
      </c>
      <c r="Q12" s="4"/>
      <c r="R12" s="3"/>
    </row>
    <row r="13" spans="1:18" x14ac:dyDescent="0.2">
      <c r="A13" s="1">
        <v>40513</v>
      </c>
      <c r="B13">
        <v>5.71</v>
      </c>
      <c r="C13">
        <v>6.2</v>
      </c>
      <c r="D13">
        <v>5.39</v>
      </c>
      <c r="F13">
        <v>98.9</v>
      </c>
      <c r="G13" s="5">
        <v>-8.7895607772685089</v>
      </c>
      <c r="H13">
        <v>7.9765425806451598</v>
      </c>
      <c r="I13">
        <v>0.1834782608695652</v>
      </c>
      <c r="J13">
        <v>1.4377930222179316</v>
      </c>
      <c r="K13">
        <v>89.145909090909086</v>
      </c>
      <c r="L13">
        <v>-2752.9621668099971</v>
      </c>
      <c r="Q13" s="4"/>
      <c r="R13" s="3"/>
    </row>
    <row r="14" spans="1:18" x14ac:dyDescent="0.2">
      <c r="A14" s="1">
        <v>40544</v>
      </c>
      <c r="B14">
        <v>5.99</v>
      </c>
      <c r="C14">
        <v>5.85</v>
      </c>
      <c r="D14">
        <v>4.9000000000000004</v>
      </c>
      <c r="E14" s="2">
        <v>4.5</v>
      </c>
      <c r="F14">
        <v>92.1</v>
      </c>
      <c r="G14" s="5">
        <v>1.6987910148421281</v>
      </c>
      <c r="H14">
        <v>7.9661887096774189</v>
      </c>
      <c r="I14">
        <v>0.17299999999999999</v>
      </c>
      <c r="J14">
        <v>1.7007834915029747</v>
      </c>
      <c r="K14">
        <v>89.170500000000004</v>
      </c>
      <c r="L14">
        <v>506.79581406000028</v>
      </c>
      <c r="Q14" s="4"/>
      <c r="R14" s="3"/>
    </row>
    <row r="15" spans="1:18" x14ac:dyDescent="0.2">
      <c r="A15" s="1">
        <v>40575</v>
      </c>
      <c r="B15">
        <v>5.5</v>
      </c>
      <c r="C15">
        <v>5.81</v>
      </c>
      <c r="D15">
        <v>5.24</v>
      </c>
      <c r="E15" s="2">
        <v>4.5</v>
      </c>
      <c r="F15">
        <v>91.3</v>
      </c>
      <c r="G15" s="5">
        <v>-3.6108742758774586</v>
      </c>
      <c r="H15">
        <v>7.8139435714285739</v>
      </c>
      <c r="I15">
        <v>0.15789473684210531</v>
      </c>
      <c r="J15">
        <v>2.1248981733331505</v>
      </c>
      <c r="K15">
        <v>88.578421052631583</v>
      </c>
      <c r="L15">
        <v>-1079.3528897300009</v>
      </c>
      <c r="Q15" s="4"/>
      <c r="R15" s="3"/>
    </row>
    <row r="16" spans="1:18" x14ac:dyDescent="0.2">
      <c r="A16" s="1">
        <v>40603</v>
      </c>
      <c r="B16">
        <v>6.24</v>
      </c>
      <c r="C16">
        <v>6.13</v>
      </c>
      <c r="D16">
        <v>4.99</v>
      </c>
      <c r="E16" s="2">
        <v>4.75</v>
      </c>
      <c r="F16">
        <v>97</v>
      </c>
      <c r="G16" s="5">
        <v>0.80034813488253798</v>
      </c>
      <c r="H16">
        <v>7.6970336000000001</v>
      </c>
      <c r="I16">
        <v>0.13826086956521741</v>
      </c>
      <c r="J16">
        <v>2.6192415103541151</v>
      </c>
      <c r="K16">
        <v>102.8565217391304</v>
      </c>
      <c r="L16">
        <v>254.00034619999951</v>
      </c>
      <c r="Q16" s="4"/>
      <c r="R16" s="3"/>
    </row>
    <row r="17" spans="1:18" x14ac:dyDescent="0.2">
      <c r="A17" s="1">
        <v>40634</v>
      </c>
      <c r="B17">
        <v>6.07</v>
      </c>
      <c r="C17">
        <v>6.19</v>
      </c>
      <c r="D17">
        <v>5.7611481291645248</v>
      </c>
      <c r="E17" s="2">
        <v>4.75</v>
      </c>
      <c r="F17">
        <v>93.6</v>
      </c>
      <c r="G17" s="5">
        <v>-0.31789199518460748</v>
      </c>
      <c r="H17">
        <v>7.6241866666666667</v>
      </c>
      <c r="I17">
        <v>9.571428571428571E-2</v>
      </c>
      <c r="J17">
        <v>3.0772344447868676</v>
      </c>
      <c r="K17">
        <v>109.5325</v>
      </c>
      <c r="L17">
        <v>-96.111975810000786</v>
      </c>
      <c r="Q17" s="4"/>
      <c r="R17" s="3"/>
    </row>
    <row r="18" spans="1:18" x14ac:dyDescent="0.2">
      <c r="A18" s="1">
        <v>40664</v>
      </c>
      <c r="B18">
        <v>5.96</v>
      </c>
      <c r="C18">
        <v>5.74</v>
      </c>
      <c r="D18">
        <v>6.3930220625962022</v>
      </c>
      <c r="E18" s="2">
        <v>4.75</v>
      </c>
      <c r="F18">
        <v>92.2</v>
      </c>
      <c r="G18" s="5">
        <v>-6.4730033055241556</v>
      </c>
      <c r="H18">
        <v>7.647901612903226</v>
      </c>
      <c r="I18">
        <v>9.3333333333333338E-2</v>
      </c>
      <c r="J18">
        <v>3.4589718808964989</v>
      </c>
      <c r="K18">
        <v>100.9004761904762</v>
      </c>
      <c r="L18">
        <v>-1921.9624755799989</v>
      </c>
      <c r="Q18" s="4"/>
      <c r="R18" s="3"/>
    </row>
    <row r="19" spans="1:18" x14ac:dyDescent="0.2">
      <c r="A19" s="1">
        <v>40695</v>
      </c>
      <c r="B19">
        <v>6.38</v>
      </c>
      <c r="C19">
        <v>6.16</v>
      </c>
      <c r="D19">
        <v>6.4222993669593791</v>
      </c>
      <c r="E19" s="2">
        <v>4.75</v>
      </c>
      <c r="F19">
        <v>91.6</v>
      </c>
      <c r="G19" s="5">
        <v>-1.7495466692974284</v>
      </c>
      <c r="H19">
        <v>7.795322333333333</v>
      </c>
      <c r="I19">
        <v>9.0909090909090912E-2</v>
      </c>
      <c r="J19">
        <v>3.502318150636043</v>
      </c>
      <c r="K19">
        <v>96.26409090909091</v>
      </c>
      <c r="L19">
        <v>-519.56226744000105</v>
      </c>
      <c r="Q19" s="4"/>
      <c r="R19" s="3"/>
    </row>
    <row r="20" spans="1:18" x14ac:dyDescent="0.2">
      <c r="A20" s="1">
        <v>40725</v>
      </c>
      <c r="B20">
        <v>5.96</v>
      </c>
      <c r="C20">
        <v>5.88</v>
      </c>
      <c r="D20">
        <v>7.0396744659206414</v>
      </c>
      <c r="E20" s="2">
        <v>5</v>
      </c>
      <c r="F20">
        <v>92.7</v>
      </c>
      <c r="G20" s="5">
        <v>-1.6998855967812192</v>
      </c>
      <c r="H20">
        <v>7.7638177419354841</v>
      </c>
      <c r="I20">
        <v>6.8000000000000005E-2</v>
      </c>
      <c r="J20">
        <v>3.5798809769996183</v>
      </c>
      <c r="K20">
        <v>97.3035</v>
      </c>
      <c r="L20">
        <v>-519.2017889000017</v>
      </c>
      <c r="Q20" s="4"/>
      <c r="R20" s="3"/>
    </row>
    <row r="21" spans="1:18" x14ac:dyDescent="0.2">
      <c r="A21" s="1">
        <v>40756</v>
      </c>
      <c r="B21">
        <v>6.33</v>
      </c>
      <c r="C21">
        <v>5.95</v>
      </c>
      <c r="D21">
        <v>7.625826131164203</v>
      </c>
      <c r="E21" s="2">
        <v>5</v>
      </c>
      <c r="F21">
        <v>92.6</v>
      </c>
      <c r="G21" s="5">
        <v>-4.1301399625311275</v>
      </c>
      <c r="H21">
        <v>7.8295638709677418</v>
      </c>
      <c r="I21">
        <v>9.7826086956521743E-2</v>
      </c>
      <c r="J21">
        <v>3.7549960307080852</v>
      </c>
      <c r="K21">
        <v>86.333043478260876</v>
      </c>
      <c r="L21">
        <v>-1272.01610764</v>
      </c>
      <c r="Q21" s="4"/>
      <c r="R21" s="3"/>
    </row>
    <row r="22" spans="1:18" x14ac:dyDescent="0.2">
      <c r="A22" s="1">
        <v>40787</v>
      </c>
      <c r="B22">
        <v>6.69</v>
      </c>
      <c r="C22">
        <v>6.43</v>
      </c>
      <c r="D22">
        <v>7.2493156240494869</v>
      </c>
      <c r="E22" s="2">
        <v>5.5</v>
      </c>
      <c r="F22">
        <v>92.1</v>
      </c>
      <c r="G22" s="5">
        <v>-2.8423342542870689</v>
      </c>
      <c r="H22">
        <v>7.854209</v>
      </c>
      <c r="I22">
        <v>8.3809523809523806E-2</v>
      </c>
      <c r="J22">
        <v>3.8126216928186807</v>
      </c>
      <c r="K22">
        <v>85.515238095238089</v>
      </c>
      <c r="L22">
        <v>-873.12486662000174</v>
      </c>
      <c r="Q22" s="4"/>
      <c r="R22" s="3"/>
    </row>
    <row r="23" spans="1:18" x14ac:dyDescent="0.2">
      <c r="A23" s="1">
        <v>40817</v>
      </c>
      <c r="B23">
        <v>6.69</v>
      </c>
      <c r="C23">
        <v>6.51</v>
      </c>
      <c r="D23">
        <v>6.65</v>
      </c>
      <c r="E23" s="2">
        <v>5.5</v>
      </c>
      <c r="F23">
        <v>91.8</v>
      </c>
      <c r="G23" s="5">
        <v>0.67167629991806799</v>
      </c>
      <c r="H23">
        <v>7.8519461290322594</v>
      </c>
      <c r="I23">
        <v>7.2000000000000008E-2</v>
      </c>
      <c r="J23">
        <v>3.5222681306640595</v>
      </c>
      <c r="K23">
        <v>86.322380952380954</v>
      </c>
      <c r="L23">
        <v>204.905242060001</v>
      </c>
      <c r="Q23" s="4"/>
      <c r="R23" s="3"/>
    </row>
    <row r="24" spans="1:18" x14ac:dyDescent="0.2">
      <c r="A24" s="1">
        <v>40848</v>
      </c>
      <c r="B24">
        <v>6.85</v>
      </c>
      <c r="C24">
        <v>6.06</v>
      </c>
      <c r="D24">
        <v>6.0548438751000617</v>
      </c>
      <c r="E24" s="2">
        <v>5.5</v>
      </c>
      <c r="F24">
        <v>95.8</v>
      </c>
      <c r="G24" s="5">
        <v>-1.9928254602659738</v>
      </c>
      <c r="H24">
        <v>7.813565333333333</v>
      </c>
      <c r="I24">
        <v>8.2000000000000003E-2</v>
      </c>
      <c r="J24">
        <v>3.4514322145817289</v>
      </c>
      <c r="K24">
        <v>97.160476190476189</v>
      </c>
      <c r="L24">
        <v>-634.61049725999919</v>
      </c>
      <c r="Q24" s="4"/>
      <c r="R24" s="3"/>
    </row>
    <row r="25" spans="1:18" x14ac:dyDescent="0.2">
      <c r="A25" s="1">
        <v>40878</v>
      </c>
      <c r="B25">
        <v>5.94</v>
      </c>
      <c r="C25">
        <v>5.62</v>
      </c>
      <c r="D25">
        <v>6.2000000000000028</v>
      </c>
      <c r="E25" s="2">
        <v>5.5</v>
      </c>
      <c r="F25">
        <v>101.4</v>
      </c>
      <c r="G25" s="5">
        <v>-13.016637829172376</v>
      </c>
      <c r="H25">
        <v>7.8052583870967744</v>
      </c>
      <c r="I25">
        <v>7.1428571428571438E-2</v>
      </c>
      <c r="J25">
        <v>3.0620668384193834</v>
      </c>
      <c r="K25">
        <v>98.562857142857141</v>
      </c>
      <c r="L25">
        <v>-4406.7427749000017</v>
      </c>
      <c r="Q25" s="4"/>
      <c r="R25" s="3"/>
    </row>
    <row r="26" spans="1:18" x14ac:dyDescent="0.2">
      <c r="A26" s="1">
        <v>40909</v>
      </c>
      <c r="B26">
        <v>5.97</v>
      </c>
      <c r="C26">
        <v>5.95</v>
      </c>
      <c r="D26">
        <v>5.44</v>
      </c>
      <c r="E26" s="2">
        <v>5.5</v>
      </c>
      <c r="F26">
        <v>95</v>
      </c>
      <c r="G26" s="5">
        <v>2.1736517267551094</v>
      </c>
      <c r="H26">
        <v>7.8125451612903234</v>
      </c>
      <c r="I26">
        <v>8.4500000000000006E-2</v>
      </c>
      <c r="J26">
        <v>3.0087663379855059</v>
      </c>
      <c r="K26">
        <v>100.2735</v>
      </c>
      <c r="L26">
        <v>695.45526530000052</v>
      </c>
      <c r="Q26" s="4"/>
      <c r="R26" s="3"/>
    </row>
    <row r="27" spans="1:18" x14ac:dyDescent="0.2">
      <c r="A27" s="1">
        <v>40940</v>
      </c>
      <c r="B27">
        <v>6</v>
      </c>
      <c r="C27">
        <v>6.11</v>
      </c>
      <c r="D27">
        <v>5.17</v>
      </c>
      <c r="E27" s="2">
        <v>5.5</v>
      </c>
      <c r="F27">
        <v>95</v>
      </c>
      <c r="G27" s="5">
        <v>-0.69482752886369448</v>
      </c>
      <c r="H27">
        <v>7.7812413793103454</v>
      </c>
      <c r="I27">
        <v>0.105</v>
      </c>
      <c r="J27">
        <v>2.8981784423473869</v>
      </c>
      <c r="K27">
        <v>102.20399999999999</v>
      </c>
      <c r="L27">
        <v>-222.9759616000006</v>
      </c>
      <c r="Q27" s="4"/>
      <c r="R27" s="3"/>
    </row>
    <row r="28" spans="1:18" x14ac:dyDescent="0.2">
      <c r="A28" s="1">
        <v>40969</v>
      </c>
      <c r="B28">
        <v>5.59</v>
      </c>
      <c r="C28">
        <v>5.47</v>
      </c>
      <c r="D28">
        <v>4.55</v>
      </c>
      <c r="E28" s="2">
        <v>5.5</v>
      </c>
      <c r="F28">
        <v>101.1</v>
      </c>
      <c r="G28" s="5">
        <v>1.3712256639840195</v>
      </c>
      <c r="H28">
        <v>7.7323932258064518</v>
      </c>
      <c r="I28">
        <v>0.12727272727272729</v>
      </c>
      <c r="J28">
        <v>2.5828752813320932</v>
      </c>
      <c r="K28">
        <v>106.1577272727273</v>
      </c>
      <c r="L28">
        <v>467.05558689000048</v>
      </c>
      <c r="Q28" s="4"/>
      <c r="R28" s="3"/>
    </row>
    <row r="29" spans="1:18" x14ac:dyDescent="0.2">
      <c r="A29" s="1">
        <v>41000</v>
      </c>
      <c r="B29">
        <v>5.84</v>
      </c>
      <c r="C29">
        <v>5.54</v>
      </c>
      <c r="D29">
        <v>4.2699999999999996</v>
      </c>
      <c r="E29" s="2">
        <v>5.5</v>
      </c>
      <c r="F29">
        <v>95.2</v>
      </c>
      <c r="G29" s="5">
        <v>1.5009533339822383</v>
      </c>
      <c r="H29">
        <v>7.737014666666667</v>
      </c>
      <c r="I29">
        <v>0.14523809523809519</v>
      </c>
      <c r="J29">
        <v>2.2731633741348531</v>
      </c>
      <c r="K29">
        <v>103.321</v>
      </c>
      <c r="L29">
        <v>477.23739991000048</v>
      </c>
      <c r="Q29" s="4"/>
      <c r="R29" s="3"/>
    </row>
    <row r="30" spans="1:18" x14ac:dyDescent="0.2">
      <c r="A30" s="1">
        <v>41030</v>
      </c>
      <c r="B30">
        <v>5.26</v>
      </c>
      <c r="C30">
        <v>5.28</v>
      </c>
      <c r="D30">
        <v>3.9</v>
      </c>
      <c r="E30" s="2">
        <v>5.5</v>
      </c>
      <c r="F30">
        <v>95.6</v>
      </c>
      <c r="G30" s="5">
        <v>-2.0177585613748672</v>
      </c>
      <c r="H30">
        <v>7.7836164516129029</v>
      </c>
      <c r="I30">
        <v>0.1563636363636364</v>
      </c>
      <c r="J30">
        <v>1.7379429374660731</v>
      </c>
      <c r="K30">
        <v>94.654545454545456</v>
      </c>
      <c r="L30">
        <v>-642.07394607999868</v>
      </c>
      <c r="Q30" s="4"/>
      <c r="R30" s="3"/>
    </row>
    <row r="31" spans="1:18" x14ac:dyDescent="0.2">
      <c r="A31" s="1">
        <v>41061</v>
      </c>
      <c r="B31">
        <v>4.8899999999999997</v>
      </c>
      <c r="C31">
        <v>5.1100000000000003</v>
      </c>
      <c r="D31">
        <v>3.47</v>
      </c>
      <c r="E31" s="2">
        <v>5</v>
      </c>
      <c r="F31">
        <v>94.1</v>
      </c>
      <c r="G31" s="5">
        <v>-1.8018967421510119</v>
      </c>
      <c r="H31">
        <v>7.8503203333333333</v>
      </c>
      <c r="I31">
        <v>0.16190476190476191</v>
      </c>
      <c r="J31">
        <v>1.6538704482976385</v>
      </c>
      <c r="K31">
        <v>82.303333333333327</v>
      </c>
      <c r="L31">
        <v>-565.51507288000084</v>
      </c>
      <c r="Q31" s="4"/>
      <c r="R31" s="3"/>
    </row>
    <row r="32" spans="1:18" x14ac:dyDescent="0.2">
      <c r="A32" s="1">
        <v>41091</v>
      </c>
      <c r="B32">
        <v>4.71</v>
      </c>
      <c r="C32">
        <v>4.9000000000000004</v>
      </c>
      <c r="D32">
        <v>2.86</v>
      </c>
      <c r="E32" s="2">
        <v>5</v>
      </c>
      <c r="F32">
        <v>95</v>
      </c>
      <c r="G32" s="5">
        <v>-2.5058778332415552</v>
      </c>
      <c r="H32">
        <v>7.8264403225806447</v>
      </c>
      <c r="I32">
        <v>0.15857142857142861</v>
      </c>
      <c r="J32">
        <v>1.4175114798464818</v>
      </c>
      <c r="K32">
        <v>87.895238095238099</v>
      </c>
      <c r="L32">
        <v>-799.76722917999905</v>
      </c>
      <c r="Q32" s="4"/>
      <c r="R32" s="3"/>
    </row>
    <row r="33" spans="1:18" x14ac:dyDescent="0.2">
      <c r="A33" s="1">
        <v>41122</v>
      </c>
      <c r="B33">
        <v>4.4400000000000004</v>
      </c>
      <c r="C33">
        <v>4.55</v>
      </c>
      <c r="D33">
        <v>2.71</v>
      </c>
      <c r="E33" s="2">
        <v>5</v>
      </c>
      <c r="F33">
        <v>95.3</v>
      </c>
      <c r="G33" s="5">
        <v>-5.7122133062849256</v>
      </c>
      <c r="H33">
        <v>7.8749183870967743</v>
      </c>
      <c r="I33">
        <v>0.13217391304347831</v>
      </c>
      <c r="J33">
        <v>1.6859349154821217</v>
      </c>
      <c r="K33">
        <v>94.131304347826088</v>
      </c>
      <c r="L33">
        <v>-1837.8707277500021</v>
      </c>
      <c r="Q33" s="4"/>
      <c r="R33" s="3"/>
    </row>
    <row r="34" spans="1:18" x14ac:dyDescent="0.2">
      <c r="A34" s="1">
        <v>41153</v>
      </c>
      <c r="B34">
        <v>4.91</v>
      </c>
      <c r="C34">
        <v>5.17</v>
      </c>
      <c r="D34">
        <v>3.28</v>
      </c>
      <c r="E34" s="2">
        <v>5</v>
      </c>
      <c r="F34">
        <v>94.1</v>
      </c>
      <c r="G34" s="5">
        <v>-4.8915373018151644</v>
      </c>
      <c r="H34">
        <v>7.9725786666666663</v>
      </c>
      <c r="I34">
        <v>0.14947368421052629</v>
      </c>
      <c r="J34">
        <v>1.949716898281963</v>
      </c>
      <c r="K34">
        <v>94.513684210526321</v>
      </c>
      <c r="L34">
        <v>-1558.0594225400009</v>
      </c>
    </row>
    <row r="35" spans="1:18" x14ac:dyDescent="0.2">
      <c r="A35" s="1">
        <v>41183</v>
      </c>
      <c r="B35">
        <v>4.7</v>
      </c>
      <c r="C35">
        <v>4.76</v>
      </c>
      <c r="D35">
        <v>3.35</v>
      </c>
      <c r="E35" s="2">
        <v>5</v>
      </c>
      <c r="F35">
        <v>96.3</v>
      </c>
      <c r="G35" s="5">
        <v>0.26553685317658454</v>
      </c>
      <c r="H35">
        <v>7.882072903225807</v>
      </c>
      <c r="I35">
        <v>0.15909090909090909</v>
      </c>
      <c r="J35">
        <v>2.1556780595369389</v>
      </c>
      <c r="K35">
        <v>89.491304347826087</v>
      </c>
      <c r="L35">
        <v>86.585609790003218</v>
      </c>
    </row>
    <row r="36" spans="1:18" x14ac:dyDescent="0.2">
      <c r="A36" s="1">
        <v>41214</v>
      </c>
      <c r="B36">
        <v>4.4800000000000004</v>
      </c>
      <c r="C36">
        <v>4.82</v>
      </c>
      <c r="D36">
        <v>3.11</v>
      </c>
      <c r="E36" s="2">
        <v>5</v>
      </c>
      <c r="F36">
        <v>98.9</v>
      </c>
      <c r="G36" s="5">
        <v>-8.456828667370667</v>
      </c>
      <c r="H36">
        <v>7.8624706666666668</v>
      </c>
      <c r="I36">
        <v>0.161</v>
      </c>
      <c r="J36">
        <v>1.7960197033926306</v>
      </c>
      <c r="K36">
        <v>86.531428571428577</v>
      </c>
      <c r="L36">
        <v>-2842.1987995300001</v>
      </c>
    </row>
    <row r="37" spans="1:18" x14ac:dyDescent="0.2">
      <c r="A37" s="1">
        <v>41244</v>
      </c>
      <c r="B37">
        <v>4.6500000000000004</v>
      </c>
      <c r="C37">
        <v>4.93</v>
      </c>
      <c r="D37">
        <v>3.45</v>
      </c>
      <c r="E37" s="2">
        <v>5</v>
      </c>
      <c r="F37">
        <v>104.1</v>
      </c>
      <c r="G37" s="5">
        <v>-7.5902326656635237</v>
      </c>
      <c r="H37">
        <v>7.8935074193548376</v>
      </c>
      <c r="I37">
        <v>0.16300000000000001</v>
      </c>
      <c r="J37">
        <v>1.7595049796895523</v>
      </c>
      <c r="K37">
        <v>87.859499999999997</v>
      </c>
      <c r="L37">
        <v>-2703.619227499993</v>
      </c>
    </row>
    <row r="38" spans="1:18" x14ac:dyDescent="0.2">
      <c r="A38" s="1">
        <v>41275</v>
      </c>
      <c r="B38">
        <v>4.53</v>
      </c>
      <c r="C38">
        <v>4.83</v>
      </c>
      <c r="D38">
        <v>3.86</v>
      </c>
      <c r="E38" s="2">
        <v>5</v>
      </c>
      <c r="F38">
        <v>99.1</v>
      </c>
      <c r="G38" s="5">
        <v>4.1502186678556683</v>
      </c>
      <c r="H38">
        <v>7.887918709677419</v>
      </c>
      <c r="I38">
        <v>0.14428571428571429</v>
      </c>
      <c r="J38">
        <v>1.6840617620982954</v>
      </c>
      <c r="K38">
        <v>94.756666666666661</v>
      </c>
      <c r="L38">
        <v>1421.8437507399999</v>
      </c>
    </row>
    <row r="39" spans="1:18" x14ac:dyDescent="0.2">
      <c r="A39" s="1">
        <v>41306</v>
      </c>
      <c r="B39">
        <v>4.41</v>
      </c>
      <c r="C39">
        <v>4.6100000000000003</v>
      </c>
      <c r="D39">
        <v>4.18</v>
      </c>
      <c r="E39" s="2">
        <v>5</v>
      </c>
      <c r="F39">
        <v>98.8</v>
      </c>
      <c r="G39" s="5">
        <v>-2.4949085449391148</v>
      </c>
      <c r="H39">
        <v>7.8282999999999996</v>
      </c>
      <c r="I39">
        <v>0.14210526315789471</v>
      </c>
      <c r="J39">
        <v>2.0181404902574798</v>
      </c>
      <c r="K39">
        <v>95.308947368421059</v>
      </c>
      <c r="L39">
        <v>-855.94026315000019</v>
      </c>
    </row>
    <row r="40" spans="1:18" x14ac:dyDescent="0.2">
      <c r="A40" s="1">
        <v>41334</v>
      </c>
      <c r="B40">
        <v>4.59</v>
      </c>
      <c r="C40">
        <v>4.66</v>
      </c>
      <c r="D40">
        <v>4.34</v>
      </c>
      <c r="E40" s="2">
        <v>5</v>
      </c>
      <c r="F40">
        <v>101.7</v>
      </c>
      <c r="G40" s="5">
        <v>0.10399659646989075</v>
      </c>
      <c r="H40">
        <v>7.8082309677419346</v>
      </c>
      <c r="I40">
        <v>0.1461904761904762</v>
      </c>
      <c r="J40">
        <v>1.5187472411246148</v>
      </c>
      <c r="K40">
        <v>92.938499999999991</v>
      </c>
      <c r="L40">
        <v>36.677096420000453</v>
      </c>
    </row>
    <row r="41" spans="1:18" x14ac:dyDescent="0.2">
      <c r="A41" s="1">
        <v>41365</v>
      </c>
      <c r="B41">
        <v>4.8499999999999996</v>
      </c>
      <c r="C41">
        <v>4.93</v>
      </c>
      <c r="D41">
        <v>4.13</v>
      </c>
      <c r="E41" s="2">
        <v>5.25</v>
      </c>
      <c r="F41">
        <v>101.2</v>
      </c>
      <c r="G41" s="5">
        <v>-0.93330993730092593</v>
      </c>
      <c r="H41">
        <v>7.7982293333333326</v>
      </c>
      <c r="I41">
        <v>0.14499999999999999</v>
      </c>
      <c r="J41">
        <v>1.1388080475768732</v>
      </c>
      <c r="K41">
        <v>92.021363636363631</v>
      </c>
      <c r="L41">
        <v>-325.16115930999882</v>
      </c>
    </row>
    <row r="42" spans="1:18" x14ac:dyDescent="0.2">
      <c r="A42" s="1">
        <v>41395</v>
      </c>
      <c r="B42">
        <v>4.71</v>
      </c>
      <c r="C42">
        <v>4.83</v>
      </c>
      <c r="D42">
        <v>4.2699999999999996</v>
      </c>
      <c r="E42" s="2">
        <v>5.25</v>
      </c>
      <c r="F42">
        <v>99.5</v>
      </c>
      <c r="G42" s="5">
        <v>-2.6348490045006128</v>
      </c>
      <c r="H42">
        <v>7.7872206451612902</v>
      </c>
      <c r="I42">
        <v>0.1086363636363636</v>
      </c>
      <c r="J42">
        <v>1.3903888279197076</v>
      </c>
      <c r="K42">
        <v>94.50954545454546</v>
      </c>
      <c r="L42">
        <v>-899.52974142000039</v>
      </c>
    </row>
    <row r="43" spans="1:18" x14ac:dyDescent="0.2">
      <c r="A43" s="1">
        <v>41426</v>
      </c>
      <c r="B43">
        <v>4.87</v>
      </c>
      <c r="C43">
        <v>5.21</v>
      </c>
      <c r="D43">
        <v>4.79</v>
      </c>
      <c r="E43" s="2">
        <v>5.25</v>
      </c>
      <c r="F43">
        <v>96.7</v>
      </c>
      <c r="G43" s="5">
        <v>-4.4228844027404772</v>
      </c>
      <c r="H43">
        <v>7.8156823333333332</v>
      </c>
      <c r="I43">
        <v>9.5500000000000002E-2</v>
      </c>
      <c r="J43">
        <v>1.7157935271568761</v>
      </c>
      <c r="K43">
        <v>95.772499999999994</v>
      </c>
      <c r="L43">
        <v>-1468.2788148</v>
      </c>
    </row>
    <row r="44" spans="1:18" x14ac:dyDescent="0.2">
      <c r="A44" s="1">
        <v>41456</v>
      </c>
      <c r="B44">
        <v>4.88</v>
      </c>
      <c r="C44">
        <v>4.8099999999999996</v>
      </c>
      <c r="D44">
        <v>4.74</v>
      </c>
      <c r="E44" s="2">
        <v>5.25</v>
      </c>
      <c r="F44">
        <v>98.6</v>
      </c>
      <c r="G44" s="5">
        <v>-1.8326989088961712</v>
      </c>
      <c r="H44">
        <v>7.8233703225806446</v>
      </c>
      <c r="I44">
        <v>9.227272727272727E-2</v>
      </c>
      <c r="J44">
        <v>1.8854718054158042</v>
      </c>
      <c r="K44">
        <v>104.67090909090911</v>
      </c>
      <c r="L44">
        <v>-623.05906890999995</v>
      </c>
    </row>
    <row r="45" spans="1:18" x14ac:dyDescent="0.2">
      <c r="A45" s="1">
        <v>41487</v>
      </c>
      <c r="B45">
        <v>4.8499999999999996</v>
      </c>
      <c r="C45">
        <v>4.8899999999999997</v>
      </c>
      <c r="D45">
        <v>4.42</v>
      </c>
      <c r="E45" s="2">
        <v>5.25</v>
      </c>
      <c r="F45">
        <v>98.7</v>
      </c>
      <c r="G45" s="5">
        <v>-2.3890845347885485</v>
      </c>
      <c r="H45">
        <v>7.8889606451612906</v>
      </c>
      <c r="I45">
        <v>8.2727272727272733E-2</v>
      </c>
      <c r="J45">
        <v>1.538809488600279</v>
      </c>
      <c r="K45">
        <v>106.57272727272731</v>
      </c>
      <c r="L45">
        <v>-816.93936977000112</v>
      </c>
    </row>
    <row r="46" spans="1:18" x14ac:dyDescent="0.2">
      <c r="A46" s="1">
        <v>41518</v>
      </c>
      <c r="B46">
        <v>4.84</v>
      </c>
      <c r="C46">
        <v>4.91</v>
      </c>
      <c r="D46">
        <v>4.21</v>
      </c>
      <c r="E46" s="2">
        <v>5.25</v>
      </c>
      <c r="F46">
        <v>97.7</v>
      </c>
      <c r="G46" s="5">
        <v>-2.440361545189706</v>
      </c>
      <c r="H46">
        <v>7.9417296666666664</v>
      </c>
      <c r="I46">
        <v>8.1000000000000003E-2</v>
      </c>
      <c r="J46">
        <v>1.094734108174805</v>
      </c>
      <c r="K46">
        <v>106.2895</v>
      </c>
      <c r="L46">
        <v>-830.35248902999956</v>
      </c>
    </row>
    <row r="47" spans="1:18" x14ac:dyDescent="0.2">
      <c r="A47" s="1">
        <v>41548</v>
      </c>
      <c r="B47">
        <v>4.72</v>
      </c>
      <c r="C47">
        <v>4.71</v>
      </c>
      <c r="D47">
        <v>4.1500000000000004</v>
      </c>
      <c r="E47" s="2">
        <v>5</v>
      </c>
      <c r="F47">
        <v>99.5</v>
      </c>
      <c r="G47" s="5">
        <v>2.8113035173674241</v>
      </c>
      <c r="H47">
        <v>7.9620948387096773</v>
      </c>
      <c r="I47">
        <v>8.545454545454545E-2</v>
      </c>
      <c r="J47">
        <v>0.87679914349114085</v>
      </c>
      <c r="K47">
        <v>100.53826086956521</v>
      </c>
      <c r="L47">
        <v>979.72614456000156</v>
      </c>
    </row>
    <row r="48" spans="1:18" x14ac:dyDescent="0.2">
      <c r="A48" s="1">
        <v>41579</v>
      </c>
      <c r="B48">
        <v>4.6900000000000004</v>
      </c>
      <c r="C48">
        <v>4.7</v>
      </c>
      <c r="D48">
        <v>4.63</v>
      </c>
      <c r="E48" s="2">
        <v>5</v>
      </c>
      <c r="F48">
        <v>102.2</v>
      </c>
      <c r="G48" s="5">
        <v>-5.5391189371437051</v>
      </c>
      <c r="H48">
        <v>7.8986489999999998</v>
      </c>
      <c r="I48">
        <v>8.4736842105263152E-2</v>
      </c>
      <c r="J48">
        <v>1.2328701961954494</v>
      </c>
      <c r="K48">
        <v>93.864000000000004</v>
      </c>
      <c r="L48">
        <v>-1989.346104969999</v>
      </c>
    </row>
    <row r="49" spans="1:12" x14ac:dyDescent="0.2">
      <c r="A49" s="1">
        <v>41609</v>
      </c>
      <c r="B49">
        <v>5.09</v>
      </c>
      <c r="C49">
        <v>5.19</v>
      </c>
      <c r="D49">
        <v>4.3899999999999997</v>
      </c>
      <c r="E49" s="2">
        <v>5</v>
      </c>
      <c r="F49">
        <v>106.3</v>
      </c>
      <c r="G49" s="5">
        <v>-9.7334863467511941</v>
      </c>
      <c r="H49">
        <v>7.8628493548387093</v>
      </c>
      <c r="I49">
        <v>8.6190476190476192E-2</v>
      </c>
      <c r="J49">
        <v>1.512838366757336</v>
      </c>
      <c r="K49">
        <v>97.625238095238089</v>
      </c>
      <c r="L49">
        <v>-3639.4267796200029</v>
      </c>
    </row>
    <row r="50" spans="1:12" x14ac:dyDescent="0.2">
      <c r="A50" s="1">
        <v>41640</v>
      </c>
      <c r="B50">
        <v>4.7300000000000004</v>
      </c>
      <c r="C50">
        <v>4.9400000000000004</v>
      </c>
      <c r="D50">
        <v>4.1399999999999997</v>
      </c>
      <c r="E50" s="2">
        <v>5</v>
      </c>
      <c r="F50">
        <v>102.7</v>
      </c>
      <c r="G50" s="5">
        <v>4.1823373835923832</v>
      </c>
      <c r="H50">
        <v>7.8495170967741936</v>
      </c>
      <c r="I50">
        <v>7.1428571428571438E-2</v>
      </c>
      <c r="J50">
        <v>1.5577587955749124</v>
      </c>
      <c r="K50">
        <v>94.617142857142852</v>
      </c>
      <c r="L50">
        <v>1508.5600607199999</v>
      </c>
    </row>
    <row r="51" spans="1:12" x14ac:dyDescent="0.2">
      <c r="A51" s="1">
        <v>41671</v>
      </c>
      <c r="B51">
        <v>4.5599999999999996</v>
      </c>
      <c r="C51">
        <v>4.68</v>
      </c>
      <c r="D51">
        <v>3.5</v>
      </c>
      <c r="E51" s="2">
        <v>5</v>
      </c>
      <c r="F51">
        <v>102.6</v>
      </c>
      <c r="G51" s="5">
        <v>-1.0862679835286653</v>
      </c>
      <c r="H51">
        <v>7.7637464285714284</v>
      </c>
      <c r="I51">
        <v>6.7368421052631577E-2</v>
      </c>
      <c r="J51">
        <v>1.1204746347724921</v>
      </c>
      <c r="K51">
        <v>100.81736842105261</v>
      </c>
      <c r="L51">
        <v>-391.04472192000048</v>
      </c>
    </row>
    <row r="52" spans="1:12" x14ac:dyDescent="0.2">
      <c r="A52" s="1">
        <v>41699</v>
      </c>
      <c r="B52">
        <v>4.46</v>
      </c>
      <c r="C52">
        <v>4.54</v>
      </c>
      <c r="D52">
        <v>3.25</v>
      </c>
      <c r="E52" s="2">
        <v>4.75</v>
      </c>
      <c r="F52">
        <v>106.8</v>
      </c>
      <c r="G52" s="5">
        <v>-1.047986023750326</v>
      </c>
      <c r="H52">
        <v>7.7294638709677423</v>
      </c>
      <c r="I52">
        <v>7.9047619047619047E-2</v>
      </c>
      <c r="J52">
        <v>1.6126949139407998</v>
      </c>
      <c r="K52">
        <v>100.80380952380951</v>
      </c>
      <c r="L52">
        <v>-392.52332337000013</v>
      </c>
    </row>
    <row r="53" spans="1:12" x14ac:dyDescent="0.2">
      <c r="A53" s="1">
        <v>41730</v>
      </c>
      <c r="B53">
        <v>4.51</v>
      </c>
      <c r="C53">
        <v>4.66</v>
      </c>
      <c r="D53">
        <v>3.27</v>
      </c>
      <c r="E53" s="2">
        <v>4.75</v>
      </c>
      <c r="F53">
        <v>104.8</v>
      </c>
      <c r="G53" s="5">
        <v>-0.64776780678434454</v>
      </c>
      <c r="H53">
        <v>7.7514669999999999</v>
      </c>
      <c r="I53">
        <v>9.0454545454545454E-2</v>
      </c>
      <c r="J53">
        <v>2.0151253036061689</v>
      </c>
      <c r="K53">
        <v>102.06904761904759</v>
      </c>
      <c r="L53">
        <v>-238.09665865999889</v>
      </c>
    </row>
    <row r="54" spans="1:12" x14ac:dyDescent="0.2">
      <c r="A54" s="1">
        <v>41760</v>
      </c>
      <c r="B54">
        <v>4.1900000000000004</v>
      </c>
      <c r="C54">
        <v>4.28</v>
      </c>
      <c r="D54">
        <v>3.22</v>
      </c>
      <c r="E54" s="2">
        <v>4.75</v>
      </c>
      <c r="F54">
        <v>104.4</v>
      </c>
      <c r="G54" s="5">
        <v>-3.9719628019363213</v>
      </c>
      <c r="H54">
        <v>7.7321567741935482</v>
      </c>
      <c r="I54">
        <v>8.7142857142857147E-2</v>
      </c>
      <c r="J54">
        <v>2.1669476870798121</v>
      </c>
      <c r="K54">
        <v>102.1771428571429</v>
      </c>
      <c r="L54">
        <v>-1460.59591116</v>
      </c>
    </row>
    <row r="55" spans="1:12" x14ac:dyDescent="0.2">
      <c r="A55" s="1">
        <v>41791</v>
      </c>
      <c r="B55">
        <v>4.24</v>
      </c>
      <c r="C55">
        <v>4.3600000000000003</v>
      </c>
      <c r="D55">
        <v>3.13</v>
      </c>
      <c r="E55" s="2">
        <v>4.5</v>
      </c>
      <c r="F55">
        <v>101</v>
      </c>
      <c r="G55" s="5">
        <v>-4.0820608638427389</v>
      </c>
      <c r="H55">
        <v>7.8067069999999994</v>
      </c>
      <c r="I55">
        <v>9.571428571428571E-2</v>
      </c>
      <c r="J55">
        <v>2.0589816945944222</v>
      </c>
      <c r="K55">
        <v>105.79428571428571</v>
      </c>
      <c r="L55">
        <v>-1464.4173707399989</v>
      </c>
    </row>
    <row r="56" spans="1:12" x14ac:dyDescent="0.2">
      <c r="A56" s="1">
        <v>41821</v>
      </c>
      <c r="B56">
        <v>4.24</v>
      </c>
      <c r="C56">
        <v>4.41</v>
      </c>
      <c r="D56">
        <v>3.41</v>
      </c>
      <c r="E56" s="2">
        <v>4.5</v>
      </c>
      <c r="F56">
        <v>103.8</v>
      </c>
      <c r="G56" s="5">
        <v>-0.37747144677926586</v>
      </c>
      <c r="H56">
        <v>7.7700716129032257</v>
      </c>
      <c r="I56">
        <v>9.1363636363636369E-2</v>
      </c>
      <c r="J56">
        <v>1.9742378703305974</v>
      </c>
      <c r="K56">
        <v>103.5886363636364</v>
      </c>
      <c r="L56">
        <v>-140.8869471300022</v>
      </c>
    </row>
    <row r="57" spans="1:12" x14ac:dyDescent="0.2">
      <c r="A57" s="1">
        <v>41852</v>
      </c>
      <c r="B57">
        <v>4.09</v>
      </c>
      <c r="C57">
        <v>4.0599999999999996</v>
      </c>
      <c r="D57">
        <v>3.7</v>
      </c>
      <c r="E57" s="2">
        <v>4.5</v>
      </c>
      <c r="F57">
        <v>102.2</v>
      </c>
      <c r="G57" s="5">
        <v>-4.4075146489408414</v>
      </c>
      <c r="H57">
        <v>7.8075838709677416</v>
      </c>
      <c r="I57">
        <v>8.9047619047619042E-2</v>
      </c>
      <c r="J57">
        <v>1.7150983482969053</v>
      </c>
      <c r="K57">
        <v>96.53619047619047</v>
      </c>
      <c r="L57">
        <v>-1631.8603525699989</v>
      </c>
    </row>
    <row r="58" spans="1:12" x14ac:dyDescent="0.2">
      <c r="A58" s="1">
        <v>41883</v>
      </c>
      <c r="B58">
        <v>4.24</v>
      </c>
      <c r="C58">
        <v>4.13</v>
      </c>
      <c r="D58">
        <v>3.45</v>
      </c>
      <c r="E58" s="2">
        <v>4.5</v>
      </c>
      <c r="F58">
        <v>101.8</v>
      </c>
      <c r="G58" s="5">
        <v>-1.6962022232512726</v>
      </c>
      <c r="H58">
        <v>7.7246496666666671</v>
      </c>
      <c r="I58">
        <v>8.8571428571428565E-2</v>
      </c>
      <c r="J58">
        <v>1.684050971123213</v>
      </c>
      <c r="K58">
        <v>93.211904761904762</v>
      </c>
      <c r="L58">
        <v>-627.35522923000144</v>
      </c>
    </row>
    <row r="59" spans="1:12" x14ac:dyDescent="0.2">
      <c r="A59" s="1">
        <v>41913</v>
      </c>
      <c r="B59">
        <v>4.08</v>
      </c>
      <c r="C59">
        <v>4.17</v>
      </c>
      <c r="D59">
        <v>3.64</v>
      </c>
      <c r="E59" s="2">
        <v>4.5</v>
      </c>
      <c r="F59">
        <v>103.9</v>
      </c>
      <c r="G59" s="5">
        <v>4.5240856691736875</v>
      </c>
      <c r="H59">
        <v>7.6474470967741937</v>
      </c>
      <c r="I59">
        <v>8.8636363636363638E-2</v>
      </c>
      <c r="J59">
        <v>1.6095417021513327</v>
      </c>
      <c r="K59">
        <v>84.396956521739128</v>
      </c>
      <c r="L59">
        <v>1704.94352938</v>
      </c>
    </row>
    <row r="60" spans="1:12" x14ac:dyDescent="0.2">
      <c r="A60" s="1">
        <v>41944</v>
      </c>
      <c r="B60">
        <v>4.16</v>
      </c>
      <c r="C60">
        <v>4.16</v>
      </c>
      <c r="D60">
        <v>3.38</v>
      </c>
      <c r="E60" s="2">
        <v>4</v>
      </c>
      <c r="F60">
        <v>107.1</v>
      </c>
      <c r="G60" s="5">
        <v>-3.8433057671890261</v>
      </c>
      <c r="H60">
        <v>7.6154510000000002</v>
      </c>
      <c r="I60">
        <v>9.5000000000000001E-2</v>
      </c>
      <c r="J60">
        <v>1.2315249893208033</v>
      </c>
      <c r="K60">
        <v>75.78947368421052</v>
      </c>
      <c r="L60">
        <v>-1490.504846719999</v>
      </c>
    </row>
    <row r="61" spans="1:12" x14ac:dyDescent="0.2">
      <c r="A61" s="1">
        <v>41974</v>
      </c>
      <c r="B61">
        <v>4.2</v>
      </c>
      <c r="C61">
        <v>4.21</v>
      </c>
      <c r="D61">
        <v>2.95</v>
      </c>
      <c r="E61" s="2">
        <v>4</v>
      </c>
      <c r="F61">
        <v>112.3</v>
      </c>
      <c r="G61" s="5">
        <v>-9.7805703266764112</v>
      </c>
      <c r="H61">
        <v>7.6225719354838706</v>
      </c>
      <c r="I61">
        <v>0.1213636363636364</v>
      </c>
      <c r="J61">
        <v>0.65312139196231556</v>
      </c>
      <c r="K61">
        <v>59.290454545454537</v>
      </c>
      <c r="L61">
        <v>-3970.618347609995</v>
      </c>
    </row>
    <row r="62" spans="1:12" x14ac:dyDescent="0.2">
      <c r="A62" s="1">
        <v>42005</v>
      </c>
      <c r="B62">
        <v>3.75</v>
      </c>
      <c r="C62">
        <v>3.89</v>
      </c>
      <c r="D62">
        <v>2.3199999999999998</v>
      </c>
      <c r="E62" s="2">
        <v>4</v>
      </c>
      <c r="F62">
        <v>107.8</v>
      </c>
      <c r="G62" s="5">
        <v>2.773216651027377</v>
      </c>
      <c r="H62">
        <v>7.6357848387096778</v>
      </c>
      <c r="I62">
        <v>0.11650000000000001</v>
      </c>
      <c r="J62">
        <v>-0.22993097820543085</v>
      </c>
      <c r="K62">
        <v>47.219000000000001</v>
      </c>
      <c r="L62">
        <v>1078.926645269999</v>
      </c>
    </row>
    <row r="63" spans="1:12" x14ac:dyDescent="0.2">
      <c r="A63" s="1">
        <v>42036</v>
      </c>
      <c r="B63">
        <v>3.79</v>
      </c>
      <c r="C63">
        <v>4.07</v>
      </c>
      <c r="D63">
        <v>2.44</v>
      </c>
      <c r="E63" s="2">
        <v>3.5</v>
      </c>
      <c r="F63">
        <v>107.2</v>
      </c>
      <c r="G63" s="5">
        <v>-3.2050607127218917</v>
      </c>
      <c r="H63">
        <v>7.6455567857142857</v>
      </c>
      <c r="I63">
        <v>0.1136842105263158</v>
      </c>
      <c r="J63">
        <v>-8.7031462935200921E-2</v>
      </c>
      <c r="K63">
        <v>50.584210526315793</v>
      </c>
      <c r="L63">
        <v>-1239.4020923200001</v>
      </c>
    </row>
    <row r="64" spans="1:12" x14ac:dyDescent="0.2">
      <c r="A64" s="1">
        <v>42064</v>
      </c>
      <c r="B64">
        <v>3.82</v>
      </c>
      <c r="C64">
        <v>4.1100000000000003</v>
      </c>
      <c r="D64">
        <v>2.4300000000000002</v>
      </c>
      <c r="E64" s="2">
        <v>3.5</v>
      </c>
      <c r="F64">
        <v>111.7</v>
      </c>
      <c r="G64" s="5">
        <v>-2.9769038365438814</v>
      </c>
      <c r="H64">
        <v>7.6264938709677423</v>
      </c>
      <c r="I64">
        <v>0.1136363636363636</v>
      </c>
      <c r="J64">
        <v>-2.2031284423874808E-2</v>
      </c>
      <c r="K64">
        <v>47.823636363636361</v>
      </c>
      <c r="L64">
        <v>-1200.343411209999</v>
      </c>
    </row>
    <row r="65" spans="1:12" x14ac:dyDescent="0.2">
      <c r="A65" s="1">
        <v>42095</v>
      </c>
      <c r="B65">
        <v>3.62</v>
      </c>
      <c r="C65">
        <v>3.82</v>
      </c>
      <c r="D65">
        <v>2.58</v>
      </c>
      <c r="E65" s="2">
        <v>3.5</v>
      </c>
      <c r="F65">
        <v>107.7</v>
      </c>
      <c r="G65" s="5">
        <v>-0.43337593457357626</v>
      </c>
      <c r="H65">
        <v>7.6866723333333331</v>
      </c>
      <c r="I65">
        <v>0.1245454545454545</v>
      </c>
      <c r="J65">
        <v>-0.10403098939390532</v>
      </c>
      <c r="K65">
        <v>54.452857142857141</v>
      </c>
      <c r="L65">
        <v>-168.81435751999919</v>
      </c>
    </row>
    <row r="66" spans="1:12" x14ac:dyDescent="0.2">
      <c r="A66" s="1">
        <v>42125</v>
      </c>
      <c r="B66">
        <v>3.46</v>
      </c>
      <c r="C66">
        <v>3.57</v>
      </c>
      <c r="D66">
        <v>2.5499999999999998</v>
      </c>
      <c r="E66" s="2">
        <v>3.5</v>
      </c>
      <c r="F66">
        <v>106.7</v>
      </c>
      <c r="G66" s="5">
        <v>-3.2694616179522336</v>
      </c>
      <c r="H66">
        <v>7.6896209677419352</v>
      </c>
      <c r="I66">
        <v>0.1245</v>
      </c>
      <c r="J66">
        <v>3.5033218244294062E-2</v>
      </c>
      <c r="K66">
        <v>59.265000000000001</v>
      </c>
      <c r="L66">
        <v>-1266.01513118</v>
      </c>
    </row>
    <row r="67" spans="1:12" x14ac:dyDescent="0.2">
      <c r="A67" s="1">
        <v>42156</v>
      </c>
      <c r="B67">
        <v>3.25</v>
      </c>
      <c r="C67">
        <v>3.67</v>
      </c>
      <c r="D67">
        <v>2.39</v>
      </c>
      <c r="E67" s="2">
        <v>3.25</v>
      </c>
      <c r="F67">
        <v>105.6</v>
      </c>
      <c r="G67" s="5">
        <v>-2.2949936023881188</v>
      </c>
      <c r="H67">
        <v>7.6517193333333333</v>
      </c>
      <c r="I67">
        <v>0.1286363636363636</v>
      </c>
      <c r="J67">
        <v>0.17957180975504627</v>
      </c>
      <c r="K67">
        <v>59.819545454545462</v>
      </c>
      <c r="L67">
        <v>-883.74873916000024</v>
      </c>
    </row>
    <row r="68" spans="1:12" x14ac:dyDescent="0.2">
      <c r="A68" s="1">
        <v>42186</v>
      </c>
      <c r="B68">
        <v>3.16</v>
      </c>
      <c r="C68">
        <v>3.56</v>
      </c>
      <c r="D68">
        <v>2.3199999999999998</v>
      </c>
      <c r="E68" s="2">
        <v>3.25</v>
      </c>
      <c r="F68">
        <v>108.7</v>
      </c>
      <c r="G68" s="5">
        <v>1.0903794580715904</v>
      </c>
      <c r="H68">
        <v>7.6475793548387099</v>
      </c>
      <c r="I68">
        <v>0.13043478260869559</v>
      </c>
      <c r="J68">
        <v>0.22568611104094316</v>
      </c>
      <c r="K68">
        <v>50.900909090909089</v>
      </c>
      <c r="L68">
        <v>434.88698989000022</v>
      </c>
    </row>
    <row r="69" spans="1:12" x14ac:dyDescent="0.2">
      <c r="A69" s="1">
        <v>42217</v>
      </c>
      <c r="B69">
        <v>3.04</v>
      </c>
      <c r="C69">
        <v>3.31</v>
      </c>
      <c r="D69">
        <v>1.96</v>
      </c>
      <c r="E69" s="2">
        <v>3.25</v>
      </c>
      <c r="F69">
        <v>107.5</v>
      </c>
      <c r="G69" s="5">
        <v>-3.3687997509564518</v>
      </c>
      <c r="H69">
        <v>7.6466438709677416</v>
      </c>
      <c r="I69">
        <v>0.14190476190476189</v>
      </c>
      <c r="J69">
        <v>0.24130379853448858</v>
      </c>
      <c r="K69">
        <v>42.867619047619037</v>
      </c>
      <c r="L69">
        <v>-1332.833409919999</v>
      </c>
    </row>
    <row r="70" spans="1:12" x14ac:dyDescent="0.2">
      <c r="A70" s="1">
        <v>42248</v>
      </c>
      <c r="B70">
        <v>3.06</v>
      </c>
      <c r="C70">
        <v>3.4</v>
      </c>
      <c r="D70">
        <v>1.88</v>
      </c>
      <c r="E70" s="2">
        <v>3.25</v>
      </c>
      <c r="F70">
        <v>106.7</v>
      </c>
      <c r="G70" s="5">
        <v>-1.6319188935658824</v>
      </c>
      <c r="H70">
        <v>7.6935640000000003</v>
      </c>
      <c r="I70">
        <v>0.13523809523809521</v>
      </c>
      <c r="J70">
        <v>8.8429616341727524E-3</v>
      </c>
      <c r="K70">
        <v>45.479523809523812</v>
      </c>
      <c r="L70">
        <v>-640.82978657999729</v>
      </c>
    </row>
    <row r="71" spans="1:12" x14ac:dyDescent="0.2">
      <c r="A71" s="1">
        <v>42278</v>
      </c>
      <c r="B71">
        <v>2.94</v>
      </c>
      <c r="C71">
        <v>3.28</v>
      </c>
      <c r="D71">
        <v>2.23</v>
      </c>
      <c r="E71" s="2">
        <v>3</v>
      </c>
      <c r="F71">
        <v>108.5</v>
      </c>
      <c r="G71" s="5">
        <v>2.2352375047958546</v>
      </c>
      <c r="H71">
        <v>7.6838558064516134</v>
      </c>
      <c r="I71">
        <v>0.1242857142857143</v>
      </c>
      <c r="J71">
        <v>0.12761656067050353</v>
      </c>
      <c r="K71">
        <v>46.223636363636373</v>
      </c>
      <c r="L71">
        <v>889.80518852999739</v>
      </c>
    </row>
    <row r="72" spans="1:12" x14ac:dyDescent="0.2">
      <c r="A72" s="1">
        <v>42309</v>
      </c>
      <c r="B72">
        <v>3.02</v>
      </c>
      <c r="C72">
        <v>3.37</v>
      </c>
      <c r="D72">
        <v>2.5099999999999998</v>
      </c>
      <c r="E72" s="2">
        <v>3</v>
      </c>
      <c r="F72">
        <v>111.4</v>
      </c>
      <c r="G72" s="5">
        <v>-0.84898353761864265</v>
      </c>
      <c r="H72">
        <v>7.6476243333333338</v>
      </c>
      <c r="I72">
        <v>0.11894736842105259</v>
      </c>
      <c r="J72">
        <v>0.43631821691852224</v>
      </c>
      <c r="K72">
        <v>42.4435</v>
      </c>
      <c r="L72">
        <v>-347.29572068000061</v>
      </c>
    </row>
    <row r="73" spans="1:12" x14ac:dyDescent="0.2">
      <c r="A73" s="1">
        <v>42339</v>
      </c>
      <c r="B73">
        <v>3.17</v>
      </c>
      <c r="C73">
        <v>3.65</v>
      </c>
      <c r="D73">
        <v>3.07</v>
      </c>
      <c r="E73" s="2">
        <v>3</v>
      </c>
      <c r="F73">
        <v>115.2</v>
      </c>
      <c r="G73" s="5">
        <v>-5.4853342335211606</v>
      </c>
      <c r="H73">
        <v>7.6134793548387103</v>
      </c>
      <c r="I73">
        <v>0.23181818181818181</v>
      </c>
      <c r="J73">
        <v>0.63872475153647201</v>
      </c>
      <c r="K73">
        <v>37.188636363636363</v>
      </c>
      <c r="L73">
        <v>-2331.8294214599991</v>
      </c>
    </row>
    <row r="74" spans="1:12" x14ac:dyDescent="0.2">
      <c r="A74" s="1">
        <v>42370</v>
      </c>
      <c r="B74">
        <v>3.62</v>
      </c>
      <c r="C74">
        <v>3.8</v>
      </c>
      <c r="D74">
        <v>4.38</v>
      </c>
      <c r="E74" s="2">
        <v>3</v>
      </c>
      <c r="F74">
        <v>109.7</v>
      </c>
      <c r="G74" s="5">
        <v>3.4396948070348738</v>
      </c>
      <c r="H74">
        <v>7.6486054838709681</v>
      </c>
      <c r="I74">
        <v>0.36263157894736842</v>
      </c>
      <c r="J74">
        <v>1.2375025026943831</v>
      </c>
      <c r="K74">
        <v>31.683157894736841</v>
      </c>
      <c r="L74">
        <v>1405.0130077199999</v>
      </c>
    </row>
    <row r="75" spans="1:12" x14ac:dyDescent="0.2">
      <c r="A75" s="1">
        <v>42401</v>
      </c>
      <c r="B75">
        <v>3.94</v>
      </c>
      <c r="C75">
        <v>4.09</v>
      </c>
      <c r="D75">
        <v>4.2699999999999996</v>
      </c>
      <c r="E75" s="2">
        <v>3</v>
      </c>
      <c r="F75">
        <v>109.4</v>
      </c>
      <c r="G75" s="5">
        <v>-2.005168757239101</v>
      </c>
      <c r="H75">
        <v>7.6620255172413794</v>
      </c>
      <c r="I75">
        <v>0.374</v>
      </c>
      <c r="J75">
        <v>0.84727757901265477</v>
      </c>
      <c r="K75">
        <v>30.323</v>
      </c>
      <c r="L75">
        <v>-819.53746464000187</v>
      </c>
    </row>
    <row r="76" spans="1:12" x14ac:dyDescent="0.2">
      <c r="A76" s="1">
        <v>42430</v>
      </c>
      <c r="B76">
        <v>3.99</v>
      </c>
      <c r="C76">
        <v>3.99</v>
      </c>
      <c r="D76">
        <v>4.26</v>
      </c>
      <c r="E76" s="2">
        <v>3</v>
      </c>
      <c r="F76">
        <v>113</v>
      </c>
      <c r="G76" s="5">
        <v>-0.74272971637104468</v>
      </c>
      <c r="H76">
        <v>7.7171599999999998</v>
      </c>
      <c r="I76">
        <v>0.36130434782608689</v>
      </c>
      <c r="J76">
        <v>0.8916160965521982</v>
      </c>
      <c r="K76">
        <v>37.546363636363637</v>
      </c>
      <c r="L76">
        <v>-312.83977457000037</v>
      </c>
    </row>
    <row r="77" spans="1:12" x14ac:dyDescent="0.2">
      <c r="A77" s="1">
        <v>42461</v>
      </c>
      <c r="B77">
        <v>4.18</v>
      </c>
      <c r="C77">
        <v>4.1900000000000004</v>
      </c>
      <c r="D77">
        <v>4.09</v>
      </c>
      <c r="E77" s="2">
        <v>3</v>
      </c>
      <c r="F77">
        <v>112.3</v>
      </c>
      <c r="G77" s="5">
        <v>2.6629271104891243</v>
      </c>
      <c r="H77">
        <v>7.7302609999999996</v>
      </c>
      <c r="I77">
        <v>0.36666666666666659</v>
      </c>
      <c r="J77">
        <v>1.1726257503534896</v>
      </c>
      <c r="K77">
        <v>40.755238095238099</v>
      </c>
      <c r="L77">
        <v>1105.685932640004</v>
      </c>
    </row>
    <row r="78" spans="1:12" x14ac:dyDescent="0.2">
      <c r="A78" s="1">
        <v>42491</v>
      </c>
      <c r="B78">
        <v>4.1500000000000004</v>
      </c>
      <c r="C78">
        <v>4.16</v>
      </c>
      <c r="D78">
        <v>4.3600000000000003</v>
      </c>
      <c r="E78" s="2">
        <v>3</v>
      </c>
      <c r="F78">
        <v>111.1</v>
      </c>
      <c r="G78" s="5">
        <v>0.21657215505448682</v>
      </c>
      <c r="H78">
        <v>7.6558170967741939</v>
      </c>
      <c r="I78">
        <v>0.36619047619047618</v>
      </c>
      <c r="J78">
        <v>1.0784764621246268</v>
      </c>
      <c r="K78">
        <v>46.712380952380947</v>
      </c>
      <c r="L78">
        <v>88.851303349994851</v>
      </c>
    </row>
    <row r="79" spans="1:12" x14ac:dyDescent="0.2">
      <c r="A79" s="1">
        <v>42522</v>
      </c>
      <c r="B79">
        <v>4.33</v>
      </c>
      <c r="C79">
        <v>4.3899999999999997</v>
      </c>
      <c r="D79">
        <v>4.43</v>
      </c>
      <c r="E79" s="2">
        <v>3</v>
      </c>
      <c r="F79">
        <v>108.4</v>
      </c>
      <c r="G79" s="5">
        <v>-2.3621030039452156</v>
      </c>
      <c r="H79">
        <v>7.6428823333333344</v>
      </c>
      <c r="I79">
        <v>0.37681818181818177</v>
      </c>
      <c r="J79">
        <v>1.0792865347959406</v>
      </c>
      <c r="K79">
        <v>48.757272727272728</v>
      </c>
      <c r="L79">
        <v>-950.78726872999687</v>
      </c>
    </row>
    <row r="80" spans="1:12" x14ac:dyDescent="0.2">
      <c r="A80" s="1">
        <v>42552</v>
      </c>
      <c r="B80">
        <v>4.28</v>
      </c>
      <c r="C80">
        <v>4.41</v>
      </c>
      <c r="D80">
        <v>4.62</v>
      </c>
      <c r="E80" s="2">
        <v>3</v>
      </c>
      <c r="F80">
        <v>109.3</v>
      </c>
      <c r="G80" s="5">
        <v>0.73688448820784536</v>
      </c>
      <c r="H80">
        <v>7.6041729032258063</v>
      </c>
      <c r="I80">
        <v>0.39550000000000002</v>
      </c>
      <c r="J80">
        <v>0.86836334305182561</v>
      </c>
      <c r="K80">
        <v>44.651499999999999</v>
      </c>
      <c r="L80">
        <v>302.70343468000277</v>
      </c>
    </row>
    <row r="81" spans="1:12" x14ac:dyDescent="0.2">
      <c r="A81" s="1">
        <v>42583</v>
      </c>
      <c r="B81">
        <v>4.4000000000000004</v>
      </c>
      <c r="C81">
        <v>4.45</v>
      </c>
      <c r="D81">
        <v>4.74</v>
      </c>
      <c r="E81" s="2">
        <v>3</v>
      </c>
      <c r="F81">
        <v>110.4</v>
      </c>
      <c r="G81" s="5">
        <v>-2.0178425322459979</v>
      </c>
      <c r="H81">
        <v>7.5345329032258066</v>
      </c>
      <c r="I81">
        <v>0.39565217391304353</v>
      </c>
      <c r="J81">
        <v>1.0553158595656811</v>
      </c>
      <c r="K81">
        <v>44.724347826086962</v>
      </c>
      <c r="L81">
        <v>-843.21200990999932</v>
      </c>
    </row>
    <row r="82" spans="1:12" x14ac:dyDescent="0.2">
      <c r="A82" s="1">
        <v>42614</v>
      </c>
      <c r="B82">
        <v>4.43</v>
      </c>
      <c r="C82">
        <v>4.42</v>
      </c>
      <c r="D82">
        <v>4.5599999999999996</v>
      </c>
      <c r="E82" s="2">
        <v>3</v>
      </c>
      <c r="F82">
        <v>109.8</v>
      </c>
      <c r="G82" s="5">
        <v>-2.7650302416598729</v>
      </c>
      <c r="H82">
        <v>7.5259489999999998</v>
      </c>
      <c r="I82">
        <v>0.39476190476190481</v>
      </c>
      <c r="J82">
        <v>1.54864462016522</v>
      </c>
      <c r="K82">
        <v>45.182380952380953</v>
      </c>
      <c r="L82">
        <v>-1151.674678639996</v>
      </c>
    </row>
    <row r="83" spans="1:12" x14ac:dyDescent="0.2">
      <c r="A83" s="1">
        <v>42644</v>
      </c>
      <c r="B83">
        <v>4.42</v>
      </c>
      <c r="C83">
        <v>4.43</v>
      </c>
      <c r="D83">
        <v>4.76</v>
      </c>
      <c r="E83" s="2">
        <v>3</v>
      </c>
      <c r="F83">
        <v>110.4</v>
      </c>
      <c r="G83" s="5">
        <v>1.0980378159287529</v>
      </c>
      <c r="H83">
        <v>7.4983690322580649</v>
      </c>
      <c r="I83">
        <v>0.40250000000000002</v>
      </c>
      <c r="J83">
        <v>1.6859249662436468</v>
      </c>
      <c r="K83">
        <v>49.775238095238088</v>
      </c>
      <c r="L83">
        <v>458.61801338000811</v>
      </c>
    </row>
    <row r="84" spans="1:12" x14ac:dyDescent="0.2">
      <c r="A84" s="1">
        <v>42675</v>
      </c>
      <c r="B84">
        <v>4.67</v>
      </c>
      <c r="C84">
        <v>4.5999999999999996</v>
      </c>
      <c r="D84">
        <v>4.67</v>
      </c>
      <c r="E84" s="2">
        <v>3</v>
      </c>
      <c r="F84">
        <v>115</v>
      </c>
      <c r="G84" s="5">
        <v>-3.5931200882239382</v>
      </c>
      <c r="H84">
        <v>7.5043293333333336</v>
      </c>
      <c r="I84">
        <v>0.40500000000000003</v>
      </c>
      <c r="J84">
        <v>1.6843334719788885</v>
      </c>
      <c r="K84">
        <v>45.660952380952381</v>
      </c>
      <c r="L84">
        <v>-1561.709965920003</v>
      </c>
    </row>
    <row r="85" spans="1:12" x14ac:dyDescent="0.2">
      <c r="A85" s="1">
        <v>42705</v>
      </c>
      <c r="B85">
        <v>4.68</v>
      </c>
      <c r="C85">
        <v>4.66</v>
      </c>
      <c r="D85">
        <v>4.2300000000000004</v>
      </c>
      <c r="E85" s="2">
        <v>3</v>
      </c>
      <c r="F85">
        <v>120.6</v>
      </c>
      <c r="G85" s="5">
        <v>-7.22084971767572</v>
      </c>
      <c r="H85">
        <v>7.5043383870967739</v>
      </c>
      <c r="I85">
        <v>0.5357142857142857</v>
      </c>
      <c r="J85">
        <v>2.0507989115119898</v>
      </c>
      <c r="K85">
        <v>51.970476190476191</v>
      </c>
      <c r="L85">
        <v>-3293.7760013500078</v>
      </c>
    </row>
    <row r="86" spans="1:12" x14ac:dyDescent="0.2">
      <c r="A86" s="1">
        <v>42736</v>
      </c>
      <c r="B86">
        <v>4.42</v>
      </c>
      <c r="C86">
        <v>4.4000000000000004</v>
      </c>
      <c r="D86">
        <v>3.83</v>
      </c>
      <c r="E86" s="2">
        <v>3</v>
      </c>
      <c r="F86">
        <v>115.4</v>
      </c>
      <c r="G86" s="5">
        <v>2.8768944687316398</v>
      </c>
      <c r="H86">
        <v>7.5221361290322584</v>
      </c>
      <c r="I86">
        <v>0.65500000000000003</v>
      </c>
      <c r="J86">
        <v>2.5103933482571108</v>
      </c>
      <c r="K86">
        <v>52.503999999999998</v>
      </c>
      <c r="L86">
        <v>1258.962081910001</v>
      </c>
    </row>
    <row r="87" spans="1:12" x14ac:dyDescent="0.2">
      <c r="A87" s="1">
        <v>42767</v>
      </c>
      <c r="B87">
        <v>4.4000000000000004</v>
      </c>
      <c r="C87">
        <v>4.46</v>
      </c>
      <c r="D87">
        <v>3.96</v>
      </c>
      <c r="E87" s="2">
        <v>3</v>
      </c>
      <c r="F87">
        <v>114.3</v>
      </c>
      <c r="G87" s="5">
        <v>-1.2920220963390694</v>
      </c>
      <c r="H87">
        <v>7.4110760714285711</v>
      </c>
      <c r="I87">
        <v>0.65526315789473688</v>
      </c>
      <c r="J87">
        <v>2.8103616813294252</v>
      </c>
      <c r="K87">
        <v>53.468421052631577</v>
      </c>
      <c r="L87">
        <v>-559.72116447999997</v>
      </c>
    </row>
    <row r="88" spans="1:12" x14ac:dyDescent="0.2">
      <c r="A88" s="1">
        <v>42795</v>
      </c>
      <c r="B88">
        <v>4.22</v>
      </c>
      <c r="C88">
        <v>4.28</v>
      </c>
      <c r="D88">
        <v>4</v>
      </c>
      <c r="E88" s="2">
        <v>3</v>
      </c>
      <c r="F88">
        <v>118.1</v>
      </c>
      <c r="G88" s="5">
        <v>0.94240226974038754</v>
      </c>
      <c r="H88">
        <v>7.3594987096774194</v>
      </c>
      <c r="I88">
        <v>0.78652173913043477</v>
      </c>
      <c r="J88">
        <v>2.4411962365591364</v>
      </c>
      <c r="K88">
        <v>49.32782608695652</v>
      </c>
      <c r="L88">
        <v>420.31356573999977</v>
      </c>
    </row>
    <row r="89" spans="1:12" x14ac:dyDescent="0.2">
      <c r="A89" s="1">
        <v>42826</v>
      </c>
      <c r="B89">
        <v>4.38</v>
      </c>
      <c r="C89">
        <v>4.51</v>
      </c>
      <c r="D89">
        <v>4.09</v>
      </c>
      <c r="E89" s="2">
        <v>3</v>
      </c>
      <c r="F89">
        <v>114.7</v>
      </c>
      <c r="G89" s="5">
        <v>1.2800900868729115</v>
      </c>
      <c r="H89">
        <v>7.3374706666666656</v>
      </c>
      <c r="I89">
        <v>0.90600000000000003</v>
      </c>
      <c r="J89">
        <v>2.1762234719153923</v>
      </c>
      <c r="K89">
        <v>51.060526315789467</v>
      </c>
      <c r="L89">
        <v>550.70901558999958</v>
      </c>
    </row>
    <row r="90" spans="1:12" x14ac:dyDescent="0.2">
      <c r="A90" s="1">
        <v>42856</v>
      </c>
      <c r="B90">
        <v>4.2</v>
      </c>
      <c r="C90">
        <v>4.17</v>
      </c>
      <c r="D90">
        <v>3.93</v>
      </c>
      <c r="E90" s="2">
        <v>3</v>
      </c>
      <c r="F90">
        <v>113.7</v>
      </c>
      <c r="G90" s="5">
        <v>-2.8779252449536887</v>
      </c>
      <c r="H90">
        <v>7.3388116129032257</v>
      </c>
      <c r="I90">
        <v>0.90636363636363637</v>
      </c>
      <c r="J90">
        <v>1.8563431667619739</v>
      </c>
      <c r="K90">
        <v>48.476363636363637</v>
      </c>
      <c r="L90">
        <v>-1226.1530537000001</v>
      </c>
    </row>
    <row r="91" spans="1:12" x14ac:dyDescent="0.2">
      <c r="A91" s="1">
        <v>42887</v>
      </c>
      <c r="B91">
        <v>4.17</v>
      </c>
      <c r="C91">
        <v>4.26</v>
      </c>
      <c r="D91">
        <v>4.3600000000000003</v>
      </c>
      <c r="E91" s="2">
        <v>3</v>
      </c>
      <c r="F91">
        <v>111.6</v>
      </c>
      <c r="G91" s="5">
        <v>6.6976941193589351E-2</v>
      </c>
      <c r="H91">
        <v>7.3438163333333337</v>
      </c>
      <c r="I91">
        <v>1.041818181818182</v>
      </c>
      <c r="J91">
        <v>1.6405658099591278</v>
      </c>
      <c r="K91">
        <v>45.177727272727267</v>
      </c>
      <c r="L91">
        <v>28.146288049999381</v>
      </c>
    </row>
    <row r="92" spans="1:12" x14ac:dyDescent="0.2">
      <c r="A92" s="1">
        <v>42917</v>
      </c>
      <c r="B92">
        <v>4.33</v>
      </c>
      <c r="C92">
        <v>4.4800000000000004</v>
      </c>
      <c r="D92">
        <v>5.22</v>
      </c>
      <c r="E92" s="2">
        <v>3</v>
      </c>
      <c r="F92">
        <v>113.8</v>
      </c>
      <c r="G92" s="5">
        <v>0.60757742481890675</v>
      </c>
      <c r="H92">
        <v>7.3063222580645162</v>
      </c>
      <c r="I92">
        <v>1.1555</v>
      </c>
      <c r="J92">
        <v>1.7251073506566001</v>
      </c>
      <c r="K92">
        <v>46.630526315789467</v>
      </c>
      <c r="L92">
        <v>263.12345997000187</v>
      </c>
    </row>
    <row r="93" spans="1:12" x14ac:dyDescent="0.2">
      <c r="A93" s="1">
        <v>42948</v>
      </c>
      <c r="B93">
        <v>4.4800000000000004</v>
      </c>
      <c r="C93">
        <v>4.51</v>
      </c>
      <c r="D93">
        <v>4.72</v>
      </c>
      <c r="E93" s="2">
        <v>3</v>
      </c>
      <c r="F93">
        <v>113.9</v>
      </c>
      <c r="G93" s="5">
        <v>-2.4032618960374692</v>
      </c>
      <c r="H93">
        <v>7.2751925806451618</v>
      </c>
      <c r="I93">
        <v>1.1560869565217391</v>
      </c>
      <c r="J93">
        <v>1.9281215572969757</v>
      </c>
      <c r="K93">
        <v>48.036956521739128</v>
      </c>
      <c r="L93">
        <v>-1050.37494083</v>
      </c>
    </row>
    <row r="94" spans="1:12" x14ac:dyDescent="0.2">
      <c r="A94" s="1">
        <v>42979</v>
      </c>
      <c r="B94">
        <v>4.5999999999999996</v>
      </c>
      <c r="C94">
        <v>4.75</v>
      </c>
      <c r="D94">
        <v>4.3600000000000003</v>
      </c>
      <c r="E94" s="2">
        <v>3</v>
      </c>
      <c r="F94">
        <v>112.1</v>
      </c>
      <c r="G94" s="5">
        <v>-2.8603351085511113</v>
      </c>
      <c r="H94">
        <v>7.3018830000000001</v>
      </c>
      <c r="I94">
        <v>1.155</v>
      </c>
      <c r="J94">
        <v>2.1805652303711724</v>
      </c>
      <c r="K94">
        <v>49.822000000000003</v>
      </c>
      <c r="L94">
        <v>-1237.9091127800009</v>
      </c>
    </row>
    <row r="95" spans="1:12" x14ac:dyDescent="0.2">
      <c r="A95" s="1">
        <v>43009</v>
      </c>
      <c r="B95">
        <v>4.5</v>
      </c>
      <c r="C95">
        <v>4.53</v>
      </c>
      <c r="D95">
        <v>4.2</v>
      </c>
      <c r="E95" s="2">
        <v>3</v>
      </c>
      <c r="F95">
        <v>113.6</v>
      </c>
      <c r="G95" s="5">
        <v>1.7693428018177721</v>
      </c>
      <c r="H95">
        <v>7.3436199999999996</v>
      </c>
      <c r="I95">
        <v>1.1557142857142859</v>
      </c>
      <c r="J95">
        <v>2.0207577531324858</v>
      </c>
      <c r="K95">
        <v>51.577727272727273</v>
      </c>
      <c r="L95">
        <v>779.07269230999918</v>
      </c>
    </row>
    <row r="96" spans="1:12" x14ac:dyDescent="0.2">
      <c r="A96" s="1">
        <v>43040</v>
      </c>
      <c r="B96">
        <v>4.49</v>
      </c>
      <c r="C96">
        <v>4.63</v>
      </c>
      <c r="D96">
        <v>4.6900000000000004</v>
      </c>
      <c r="E96" s="2">
        <v>2.75</v>
      </c>
      <c r="F96">
        <v>116.9</v>
      </c>
      <c r="G96" s="5">
        <v>-2.6367749600262647</v>
      </c>
      <c r="H96">
        <v>7.3326736666666674</v>
      </c>
      <c r="I96">
        <v>1.1557142857142859</v>
      </c>
      <c r="J96">
        <v>2.1724938642955607</v>
      </c>
      <c r="K96">
        <v>56.638571428571431</v>
      </c>
      <c r="L96">
        <v>-1196.09149938</v>
      </c>
    </row>
    <row r="97" spans="1:12" x14ac:dyDescent="0.2">
      <c r="A97" s="1">
        <v>43070</v>
      </c>
      <c r="B97">
        <v>4.53</v>
      </c>
      <c r="C97">
        <v>4.5599999999999996</v>
      </c>
      <c r="D97">
        <v>5.68</v>
      </c>
      <c r="E97" s="2">
        <v>2.75</v>
      </c>
      <c r="F97">
        <v>122.6</v>
      </c>
      <c r="G97" s="5">
        <v>-11.198171195061519</v>
      </c>
      <c r="H97">
        <v>7.3407900000000001</v>
      </c>
      <c r="I97">
        <v>1.2985</v>
      </c>
      <c r="J97">
        <v>2.1299307195522488</v>
      </c>
      <c r="K97">
        <v>57.881500000000003</v>
      </c>
      <c r="L97">
        <v>-5317.8946986600022</v>
      </c>
    </row>
    <row r="98" spans="1:12" x14ac:dyDescent="0.2">
      <c r="A98" s="1">
        <v>43101</v>
      </c>
      <c r="B98">
        <v>4.88</v>
      </c>
      <c r="C98">
        <v>4.71</v>
      </c>
      <c r="D98">
        <v>4.71</v>
      </c>
      <c r="E98" s="2">
        <v>2.75</v>
      </c>
      <c r="F98">
        <v>117.7</v>
      </c>
      <c r="G98" s="5">
        <v>3.6730494224968719</v>
      </c>
      <c r="H98">
        <v>7.3434816129032257</v>
      </c>
      <c r="I98">
        <v>1.416190476190476</v>
      </c>
      <c r="J98">
        <v>2.1513188680639388</v>
      </c>
      <c r="K98">
        <v>63.698571428571427</v>
      </c>
      <c r="L98">
        <v>1666.47242742</v>
      </c>
    </row>
    <row r="99" spans="1:12" x14ac:dyDescent="0.2">
      <c r="A99" s="1">
        <v>43132</v>
      </c>
      <c r="B99">
        <v>4.67</v>
      </c>
      <c r="C99">
        <v>4.5599999999999996</v>
      </c>
      <c r="D99">
        <v>4.1500000000000004</v>
      </c>
      <c r="E99" s="2">
        <v>2.75</v>
      </c>
      <c r="F99">
        <v>117.8</v>
      </c>
      <c r="G99" s="5">
        <v>-1.2999573040524375</v>
      </c>
      <c r="H99">
        <v>7.3595971428571429</v>
      </c>
      <c r="I99">
        <v>1.416315789473684</v>
      </c>
      <c r="J99">
        <v>2.2634689310918645</v>
      </c>
      <c r="K99">
        <v>62.229473684210532</v>
      </c>
      <c r="L99">
        <v>-587.20564136999928</v>
      </c>
    </row>
    <row r="100" spans="1:12" x14ac:dyDescent="0.2">
      <c r="A100" s="1">
        <v>43160</v>
      </c>
      <c r="B100">
        <v>4.55</v>
      </c>
      <c r="C100">
        <v>4.62</v>
      </c>
      <c r="D100">
        <v>4.1399999999999997</v>
      </c>
      <c r="E100" s="2">
        <v>2.75</v>
      </c>
      <c r="F100">
        <v>121.7</v>
      </c>
      <c r="G100" s="5">
        <v>0.37570455151740795</v>
      </c>
      <c r="H100">
        <v>7.3929145161290322</v>
      </c>
      <c r="I100">
        <v>1.5054545454545449</v>
      </c>
      <c r="J100">
        <v>2.3309497646499437</v>
      </c>
      <c r="K100">
        <v>62.724761904761912</v>
      </c>
      <c r="L100">
        <v>174.3408753100002</v>
      </c>
    </row>
    <row r="101" spans="1:12" x14ac:dyDescent="0.2">
      <c r="A101" s="1">
        <v>43191</v>
      </c>
      <c r="B101">
        <v>4.42</v>
      </c>
      <c r="C101">
        <v>4.46</v>
      </c>
      <c r="D101">
        <v>3.92</v>
      </c>
      <c r="E101" s="2">
        <v>2.75</v>
      </c>
      <c r="F101">
        <v>119.5</v>
      </c>
      <c r="G101" s="5">
        <v>1.2450311010809127</v>
      </c>
      <c r="H101">
        <v>7.4025996666666662</v>
      </c>
      <c r="I101">
        <v>1.6923809523809521</v>
      </c>
      <c r="J101">
        <v>2.4709963021053056</v>
      </c>
      <c r="K101">
        <v>66.253809523809522</v>
      </c>
      <c r="L101">
        <v>563.86316228999749</v>
      </c>
    </row>
    <row r="102" spans="1:12" x14ac:dyDescent="0.2">
      <c r="A102" s="1">
        <v>43221</v>
      </c>
      <c r="B102">
        <v>4.3099999999999996</v>
      </c>
      <c r="C102">
        <v>4.4800000000000004</v>
      </c>
      <c r="D102">
        <v>4.09</v>
      </c>
      <c r="E102" s="2">
        <v>2.75</v>
      </c>
      <c r="F102">
        <v>118.7</v>
      </c>
      <c r="G102" s="5">
        <v>-2.076024258247656</v>
      </c>
      <c r="H102">
        <v>7.4403045161290322</v>
      </c>
      <c r="I102">
        <v>1.7</v>
      </c>
      <c r="J102">
        <v>2.7819216078424915</v>
      </c>
      <c r="K102">
        <v>69.978181818181824</v>
      </c>
      <c r="L102">
        <v>-933.55713507999826</v>
      </c>
    </row>
    <row r="103" spans="1:12" x14ac:dyDescent="0.2">
      <c r="A103" s="1">
        <v>43252</v>
      </c>
      <c r="B103">
        <v>4.3499999999999996</v>
      </c>
      <c r="C103">
        <v>4.43</v>
      </c>
      <c r="D103">
        <v>3.79</v>
      </c>
      <c r="E103" s="2">
        <v>2.75</v>
      </c>
      <c r="F103">
        <v>116.4</v>
      </c>
      <c r="G103" s="5">
        <v>-3.3696328734764789</v>
      </c>
      <c r="H103">
        <v>7.4852696666666656</v>
      </c>
      <c r="I103">
        <v>1.8209523809523811</v>
      </c>
      <c r="J103">
        <v>2.807550693594024</v>
      </c>
      <c r="K103">
        <v>67.873333333333335</v>
      </c>
      <c r="L103">
        <v>-1493.7590117699999</v>
      </c>
    </row>
    <row r="104" spans="1:12" x14ac:dyDescent="0.2">
      <c r="A104" s="1">
        <v>43282</v>
      </c>
      <c r="B104">
        <v>4.26</v>
      </c>
      <c r="C104">
        <v>4.3600000000000003</v>
      </c>
      <c r="D104">
        <v>2.61</v>
      </c>
      <c r="E104" s="2">
        <v>2.75</v>
      </c>
      <c r="F104">
        <v>118.2</v>
      </c>
      <c r="G104" s="5">
        <v>0.25088127525856135</v>
      </c>
      <c r="H104">
        <v>7.4847032258064514</v>
      </c>
      <c r="I104">
        <v>1.91</v>
      </c>
      <c r="J104">
        <v>2.8541247855619361</v>
      </c>
      <c r="K104">
        <v>70.981428571428566</v>
      </c>
      <c r="L104">
        <v>114.1530734400003</v>
      </c>
    </row>
    <row r="105" spans="1:12" x14ac:dyDescent="0.2">
      <c r="A105" s="1">
        <v>43313</v>
      </c>
      <c r="B105">
        <v>4.07</v>
      </c>
      <c r="C105">
        <v>4.33</v>
      </c>
      <c r="D105">
        <v>3.36</v>
      </c>
      <c r="E105" s="2">
        <v>2.75</v>
      </c>
      <c r="F105">
        <v>118</v>
      </c>
      <c r="G105" s="5">
        <v>-3.7286860296115401</v>
      </c>
      <c r="H105">
        <v>7.5007032258064514</v>
      </c>
      <c r="I105">
        <v>1.9147826086956521</v>
      </c>
      <c r="J105">
        <v>2.6429238568742619</v>
      </c>
      <c r="K105">
        <v>68.055652173913046</v>
      </c>
      <c r="L105">
        <v>-1708.64472957</v>
      </c>
    </row>
    <row r="106" spans="1:12" x14ac:dyDescent="0.2">
      <c r="A106" s="1">
        <v>43344</v>
      </c>
      <c r="B106">
        <v>4.12</v>
      </c>
      <c r="C106">
        <v>4.32</v>
      </c>
      <c r="D106">
        <v>4.55</v>
      </c>
      <c r="E106" s="2">
        <v>2.75</v>
      </c>
      <c r="F106">
        <v>115.4</v>
      </c>
      <c r="G106" s="5">
        <v>-3.3818915099261901</v>
      </c>
      <c r="H106">
        <v>7.6543513333333344</v>
      </c>
      <c r="I106">
        <v>1.948947368421053</v>
      </c>
      <c r="J106">
        <v>2.3320551058088341</v>
      </c>
      <c r="K106">
        <v>70.232105263157891</v>
      </c>
      <c r="L106">
        <v>-1526.053190490001</v>
      </c>
    </row>
    <row r="107" spans="1:12" x14ac:dyDescent="0.2">
      <c r="A107" s="1">
        <v>43374</v>
      </c>
      <c r="B107">
        <v>4.3</v>
      </c>
      <c r="C107">
        <v>4.32</v>
      </c>
      <c r="D107">
        <v>4.34</v>
      </c>
      <c r="E107" s="2">
        <v>2.75</v>
      </c>
      <c r="F107">
        <v>118.1</v>
      </c>
      <c r="G107" s="5">
        <v>1.236508072234497</v>
      </c>
      <c r="H107">
        <v>7.7242745161290323</v>
      </c>
      <c r="I107">
        <v>2.188181818181818</v>
      </c>
      <c r="J107">
        <v>2.4920324702180494</v>
      </c>
      <c r="K107">
        <v>70.748695652173907</v>
      </c>
      <c r="L107">
        <v>573.92275787999915</v>
      </c>
    </row>
    <row r="108" spans="1:12" x14ac:dyDescent="0.2">
      <c r="A108" s="1">
        <v>43405</v>
      </c>
      <c r="B108">
        <v>4.4400000000000004</v>
      </c>
      <c r="C108">
        <v>4.47</v>
      </c>
      <c r="D108">
        <v>3.15</v>
      </c>
      <c r="E108" s="2">
        <v>2.75</v>
      </c>
      <c r="F108">
        <v>121.2</v>
      </c>
      <c r="G108" s="5">
        <v>-4.4047122799381988</v>
      </c>
      <c r="H108">
        <v>7.7006990000000002</v>
      </c>
      <c r="I108">
        <v>2.1989999999999998</v>
      </c>
      <c r="J108">
        <v>2.1473285776677784</v>
      </c>
      <c r="K108">
        <v>56.963500000000003</v>
      </c>
      <c r="L108">
        <v>-2102.2472800100008</v>
      </c>
    </row>
    <row r="109" spans="1:12" x14ac:dyDescent="0.2">
      <c r="A109" s="1">
        <v>43435</v>
      </c>
      <c r="B109">
        <v>4.24</v>
      </c>
      <c r="C109">
        <v>4.38</v>
      </c>
      <c r="D109">
        <v>2.31</v>
      </c>
      <c r="E109" s="2">
        <v>2.75</v>
      </c>
      <c r="F109">
        <v>125.2</v>
      </c>
      <c r="G109" s="5">
        <v>-10.376721982183769</v>
      </c>
      <c r="H109">
        <v>7.7300006451612902</v>
      </c>
      <c r="I109">
        <v>2.2669999999999999</v>
      </c>
      <c r="J109">
        <v>2.0023809043401002</v>
      </c>
      <c r="K109">
        <v>49.522777777777783</v>
      </c>
      <c r="L109">
        <v>-5109.9030334600011</v>
      </c>
    </row>
    <row r="110" spans="1:12" x14ac:dyDescent="0.2">
      <c r="A110" s="1">
        <v>43466</v>
      </c>
      <c r="B110">
        <v>4.03</v>
      </c>
      <c r="C110">
        <v>4.07</v>
      </c>
      <c r="D110">
        <v>4.0999999999999996</v>
      </c>
      <c r="E110" s="2">
        <v>2.75</v>
      </c>
      <c r="F110">
        <v>121.9</v>
      </c>
      <c r="G110" s="5">
        <v>2.2099415627932739</v>
      </c>
      <c r="H110">
        <v>7.7291496774193549</v>
      </c>
      <c r="I110">
        <v>2.4</v>
      </c>
      <c r="J110">
        <v>1.4875893578291368</v>
      </c>
      <c r="K110">
        <v>51.375714285714288</v>
      </c>
      <c r="L110">
        <v>1054.8585207599999</v>
      </c>
    </row>
    <row r="111" spans="1:12" x14ac:dyDescent="0.2">
      <c r="A111" s="1">
        <v>43497</v>
      </c>
      <c r="B111">
        <v>4.2300000000000004</v>
      </c>
      <c r="C111">
        <v>4.25</v>
      </c>
      <c r="D111">
        <v>4.46</v>
      </c>
      <c r="E111" s="2">
        <v>2.75</v>
      </c>
      <c r="F111">
        <v>122.7</v>
      </c>
      <c r="G111" s="5">
        <v>-2.3835344404800769</v>
      </c>
      <c r="H111">
        <v>7.737828214285714</v>
      </c>
      <c r="I111">
        <v>2.4</v>
      </c>
      <c r="J111">
        <v>1.5188615351321886</v>
      </c>
      <c r="K111">
        <v>54.954736842105262</v>
      </c>
      <c r="L111">
        <v>-1143.0959648099999</v>
      </c>
    </row>
    <row r="112" spans="1:12" x14ac:dyDescent="0.2">
      <c r="A112" s="1">
        <v>43525</v>
      </c>
      <c r="B112">
        <v>4.34</v>
      </c>
      <c r="C112">
        <v>4.3499999999999996</v>
      </c>
      <c r="D112">
        <v>4.17</v>
      </c>
      <c r="E112" s="2">
        <v>2.75</v>
      </c>
      <c r="F112">
        <v>125.9</v>
      </c>
      <c r="G112" s="5">
        <v>-0.90193329203723893</v>
      </c>
      <c r="H112">
        <v>7.6904783870967739</v>
      </c>
      <c r="I112">
        <v>2.4038095238095241</v>
      </c>
      <c r="J112">
        <v>1.8831863513063922</v>
      </c>
      <c r="K112">
        <v>58.151428571428568</v>
      </c>
      <c r="L112">
        <v>-444.20462219999899</v>
      </c>
    </row>
    <row r="113" spans="1:12" x14ac:dyDescent="0.2">
      <c r="A113" s="1">
        <v>43556</v>
      </c>
      <c r="B113">
        <v>4.32</v>
      </c>
      <c r="C113">
        <v>4.3</v>
      </c>
      <c r="D113">
        <v>4.75</v>
      </c>
      <c r="E113" s="2">
        <v>2.75</v>
      </c>
      <c r="F113">
        <v>124</v>
      </c>
      <c r="G113" s="5">
        <v>-1.6049045025648772</v>
      </c>
      <c r="H113">
        <v>7.6443056666666669</v>
      </c>
      <c r="I113">
        <v>2.4231818181818179</v>
      </c>
      <c r="J113">
        <v>2.0005834702090652</v>
      </c>
      <c r="K113">
        <v>63.862380952380953</v>
      </c>
      <c r="L113">
        <v>-781.27959676999944</v>
      </c>
    </row>
    <row r="114" spans="1:12" x14ac:dyDescent="0.2">
      <c r="A114" s="1">
        <v>43586</v>
      </c>
      <c r="B114">
        <v>4.42</v>
      </c>
      <c r="C114">
        <v>4.3899999999999997</v>
      </c>
      <c r="D114">
        <v>4.54</v>
      </c>
      <c r="E114" s="2">
        <v>2.75</v>
      </c>
      <c r="F114">
        <v>123.7</v>
      </c>
      <c r="G114" s="5">
        <v>-1.8821119016827912</v>
      </c>
      <c r="H114">
        <v>7.6676303225806448</v>
      </c>
      <c r="I114">
        <v>2.392727272727273</v>
      </c>
      <c r="J114">
        <v>1.7959105553606207</v>
      </c>
      <c r="K114">
        <v>60.826818181818183</v>
      </c>
      <c r="L114">
        <v>-918.70144535000054</v>
      </c>
    </row>
    <row r="115" spans="1:12" x14ac:dyDescent="0.2">
      <c r="A115" s="1">
        <v>43617</v>
      </c>
      <c r="B115">
        <v>4.4000000000000004</v>
      </c>
      <c r="C115">
        <v>4.3600000000000003</v>
      </c>
      <c r="D115">
        <v>4.8</v>
      </c>
      <c r="E115" s="2">
        <v>2.75</v>
      </c>
      <c r="F115">
        <v>120.5</v>
      </c>
      <c r="G115" s="5">
        <v>-4.6283091258690456</v>
      </c>
      <c r="H115">
        <v>7.7049923333333332</v>
      </c>
      <c r="I115">
        <v>2.3755000000000002</v>
      </c>
      <c r="J115">
        <v>1.6711948943900552</v>
      </c>
      <c r="K115">
        <v>54.657499999999999</v>
      </c>
      <c r="L115">
        <v>-2215.3961581099989</v>
      </c>
    </row>
    <row r="116" spans="1:12" x14ac:dyDescent="0.2">
      <c r="A116" s="1">
        <v>43647</v>
      </c>
      <c r="B116">
        <v>4.57</v>
      </c>
      <c r="C116">
        <v>4.5999999999999996</v>
      </c>
      <c r="D116">
        <v>4.37</v>
      </c>
      <c r="E116" s="2">
        <v>2.75</v>
      </c>
      <c r="F116">
        <v>123</v>
      </c>
      <c r="G116" s="5">
        <v>0.71309759366642378</v>
      </c>
      <c r="H116">
        <v>7.6759093548387094</v>
      </c>
      <c r="I116">
        <v>2.4027272727272728</v>
      </c>
      <c r="J116">
        <v>1.826331335037068</v>
      </c>
      <c r="K116">
        <v>57.358095238095238</v>
      </c>
      <c r="L116">
        <v>351.24292728999808</v>
      </c>
    </row>
    <row r="117" spans="1:12" x14ac:dyDescent="0.2">
      <c r="A117" s="1">
        <v>43678</v>
      </c>
      <c r="B117">
        <v>4.5999999999999996</v>
      </c>
      <c r="C117">
        <v>4.53</v>
      </c>
      <c r="D117">
        <v>3.01</v>
      </c>
      <c r="E117" s="2">
        <v>2.75</v>
      </c>
      <c r="F117">
        <v>122</v>
      </c>
      <c r="G117" s="5">
        <v>-3.7997979044337251</v>
      </c>
      <c r="H117">
        <v>7.6708212903225803</v>
      </c>
      <c r="I117">
        <v>2.125</v>
      </c>
      <c r="J117">
        <v>1.7376412106666379</v>
      </c>
      <c r="K117">
        <v>54.80590909090909</v>
      </c>
      <c r="L117">
        <v>-1871.0208044099991</v>
      </c>
    </row>
    <row r="118" spans="1:12" x14ac:dyDescent="0.2">
      <c r="A118" s="1">
        <v>43709</v>
      </c>
      <c r="B118">
        <v>4.33</v>
      </c>
      <c r="C118">
        <v>4.34</v>
      </c>
      <c r="D118">
        <v>1.8</v>
      </c>
      <c r="E118" s="2">
        <v>2.75</v>
      </c>
      <c r="F118">
        <v>120.8</v>
      </c>
      <c r="G118" s="5">
        <v>-3.9071775052855773</v>
      </c>
      <c r="H118">
        <v>7.7059323333333332</v>
      </c>
      <c r="I118">
        <v>2.0525000000000002</v>
      </c>
      <c r="J118">
        <v>1.6844977040391598</v>
      </c>
      <c r="K118">
        <v>56.947000000000003</v>
      </c>
      <c r="L118">
        <v>-1919.505329419999</v>
      </c>
    </row>
    <row r="119" spans="1:12" x14ac:dyDescent="0.2">
      <c r="A119" s="1">
        <v>43739</v>
      </c>
      <c r="B119">
        <v>4.18</v>
      </c>
      <c r="C119">
        <v>4.22</v>
      </c>
      <c r="D119">
        <v>2.17</v>
      </c>
      <c r="E119" s="2">
        <v>2.75</v>
      </c>
      <c r="F119">
        <v>122.9</v>
      </c>
      <c r="G119" s="5">
        <v>1.1153601326084026</v>
      </c>
      <c r="H119">
        <v>7.7629564516129026</v>
      </c>
      <c r="I119">
        <v>1.83</v>
      </c>
      <c r="J119">
        <v>1.7339736996186303</v>
      </c>
      <c r="K119">
        <v>53.963043478260872</v>
      </c>
      <c r="L119">
        <v>561.59895384999982</v>
      </c>
    </row>
    <row r="120" spans="1:12" x14ac:dyDescent="0.2">
      <c r="A120" s="1">
        <v>43770</v>
      </c>
      <c r="B120">
        <v>4.05</v>
      </c>
      <c r="C120">
        <v>4.25</v>
      </c>
      <c r="D120">
        <v>2.92</v>
      </c>
      <c r="E120" s="2">
        <v>2.75</v>
      </c>
      <c r="F120">
        <v>127.1</v>
      </c>
      <c r="G120" s="5">
        <v>-3.3210017863927099</v>
      </c>
      <c r="H120">
        <v>7.7043586666666668</v>
      </c>
      <c r="I120">
        <v>1.5526315789473679</v>
      </c>
      <c r="J120">
        <v>2.0922903948629141</v>
      </c>
      <c r="K120">
        <v>57.048947368421047</v>
      </c>
      <c r="L120">
        <v>-1733.2204952</v>
      </c>
    </row>
    <row r="121" spans="1:12" x14ac:dyDescent="0.2">
      <c r="A121" s="1">
        <v>43800</v>
      </c>
      <c r="B121">
        <v>3.89</v>
      </c>
      <c r="C121">
        <v>4.0999999999999996</v>
      </c>
      <c r="D121">
        <v>3.41</v>
      </c>
      <c r="E121" s="2">
        <v>2.75</v>
      </c>
      <c r="F121">
        <v>130.69999999999999</v>
      </c>
      <c r="G121" s="5">
        <v>-7.8919456159000951</v>
      </c>
      <c r="H121">
        <v>7.6886061290322578</v>
      </c>
      <c r="I121">
        <v>1.5509523809523811</v>
      </c>
      <c r="J121">
        <v>2.319527469962452</v>
      </c>
      <c r="K121">
        <v>59.81666666666667</v>
      </c>
      <c r="L121">
        <v>-4222.7759856300017</v>
      </c>
    </row>
    <row r="122" spans="1:12" x14ac:dyDescent="0.2">
      <c r="A122" s="1">
        <v>43831</v>
      </c>
      <c r="B122">
        <v>4.07</v>
      </c>
      <c r="C122">
        <v>4.1100000000000003</v>
      </c>
      <c r="D122">
        <v>1.78</v>
      </c>
      <c r="E122" s="2">
        <v>2.75</v>
      </c>
      <c r="F122">
        <v>127.1</v>
      </c>
      <c r="G122" s="5">
        <v>2.8032950040593354</v>
      </c>
      <c r="H122">
        <v>7.6956090322580648</v>
      </c>
      <c r="I122">
        <v>1.5519047619047619</v>
      </c>
      <c r="J122">
        <v>2.5997679768452002</v>
      </c>
      <c r="K122">
        <v>57.519047619047619</v>
      </c>
      <c r="L122">
        <v>1446.39001205</v>
      </c>
    </row>
    <row r="123" spans="1:12" x14ac:dyDescent="0.2">
      <c r="A123" s="1">
        <v>43862</v>
      </c>
      <c r="B123">
        <v>3.92</v>
      </c>
      <c r="C123">
        <v>3.85</v>
      </c>
      <c r="D123">
        <v>1.24</v>
      </c>
      <c r="E123" s="2">
        <v>2.75</v>
      </c>
      <c r="F123">
        <v>125.5</v>
      </c>
      <c r="G123" s="5">
        <v>-1.0329130727563369</v>
      </c>
      <c r="H123">
        <v>7.6485768965517238</v>
      </c>
      <c r="I123">
        <v>1.583684210526316</v>
      </c>
      <c r="J123">
        <v>2.3413166797595153</v>
      </c>
      <c r="K123">
        <v>50.542631578947372</v>
      </c>
      <c r="L123">
        <v>-524.05327094000131</v>
      </c>
    </row>
    <row r="124" spans="1:12" x14ac:dyDescent="0.2">
      <c r="A124" s="1">
        <v>43891</v>
      </c>
      <c r="B124">
        <v>3.86</v>
      </c>
      <c r="C124">
        <v>3.99</v>
      </c>
      <c r="D124">
        <v>1.77</v>
      </c>
      <c r="E124" s="2">
        <v>2</v>
      </c>
      <c r="F124">
        <v>120.9</v>
      </c>
      <c r="G124" s="5">
        <v>-4.7186339948111176</v>
      </c>
      <c r="H124">
        <v>7.6864487096774186</v>
      </c>
      <c r="I124">
        <v>0.62545454545454549</v>
      </c>
      <c r="J124">
        <v>1.4940399642909199</v>
      </c>
      <c r="K124">
        <v>29.207727272727269</v>
      </c>
      <c r="L124">
        <v>-2306.5938638799989</v>
      </c>
    </row>
    <row r="125" spans="1:12" x14ac:dyDescent="0.2">
      <c r="A125" s="1">
        <v>43922</v>
      </c>
      <c r="B125">
        <v>3.55</v>
      </c>
      <c r="C125">
        <v>3.97</v>
      </c>
      <c r="D125">
        <v>1.88</v>
      </c>
      <c r="E125" s="2">
        <v>2</v>
      </c>
      <c r="F125">
        <v>112.1</v>
      </c>
      <c r="G125" s="5">
        <v>1.781298897072245</v>
      </c>
      <c r="H125">
        <v>7.7073396666666669</v>
      </c>
      <c r="I125">
        <v>4.8636363636363637E-2</v>
      </c>
      <c r="J125">
        <v>0.31304729404111242</v>
      </c>
      <c r="K125">
        <v>16.547619047619051</v>
      </c>
      <c r="L125">
        <v>810.82356136999988</v>
      </c>
    </row>
    <row r="126" spans="1:12" x14ac:dyDescent="0.2">
      <c r="A126" s="1">
        <v>43952</v>
      </c>
      <c r="B126">
        <v>3.78</v>
      </c>
      <c r="C126">
        <v>3.96</v>
      </c>
      <c r="D126">
        <v>1.8</v>
      </c>
      <c r="E126" s="2">
        <v>2</v>
      </c>
      <c r="F126">
        <v>111</v>
      </c>
      <c r="G126" s="5">
        <v>-8.5022852390623385</v>
      </c>
      <c r="H126">
        <v>7.6986470967741933</v>
      </c>
      <c r="I126">
        <v>0.05</v>
      </c>
      <c r="J126">
        <v>0.19820130358485244</v>
      </c>
      <c r="K126">
        <v>28.5625</v>
      </c>
      <c r="L126">
        <v>-3854.2113863099989</v>
      </c>
    </row>
    <row r="127" spans="1:12" x14ac:dyDescent="0.2">
      <c r="A127" s="1">
        <v>43983</v>
      </c>
      <c r="B127">
        <v>3.5</v>
      </c>
      <c r="C127">
        <v>3.77</v>
      </c>
      <c r="D127">
        <v>2.39</v>
      </c>
      <c r="E127" s="2">
        <v>1.75</v>
      </c>
      <c r="F127">
        <v>111</v>
      </c>
      <c r="G127" s="5">
        <v>-10.850828228689393</v>
      </c>
      <c r="H127">
        <v>7.6974263333333326</v>
      </c>
      <c r="I127">
        <v>7.6818181818181813E-2</v>
      </c>
      <c r="J127">
        <v>0.71665628318304186</v>
      </c>
      <c r="K127">
        <v>38.307272727272718</v>
      </c>
      <c r="L127">
        <v>-4954.2276757299987</v>
      </c>
    </row>
    <row r="128" spans="1:12" x14ac:dyDescent="0.2">
      <c r="A128" s="1">
        <v>44013</v>
      </c>
      <c r="B128">
        <v>3.49</v>
      </c>
      <c r="C128">
        <v>3.9</v>
      </c>
      <c r="D128">
        <v>2.88</v>
      </c>
      <c r="E128" s="2">
        <v>1.75</v>
      </c>
      <c r="F128">
        <v>118.2</v>
      </c>
      <c r="G128" s="5">
        <v>-3.5424080325161063</v>
      </c>
      <c r="H128">
        <v>7.6959661290322581</v>
      </c>
      <c r="I128">
        <v>9.3478260869565219E-2</v>
      </c>
      <c r="J128">
        <v>0.9968647625897944</v>
      </c>
      <c r="K128">
        <v>40.710454545454553</v>
      </c>
      <c r="L128">
        <v>-1737.1059310300011</v>
      </c>
    </row>
    <row r="129" spans="1:12" x14ac:dyDescent="0.2">
      <c r="A129" s="1">
        <v>44044</v>
      </c>
      <c r="B129">
        <v>3.61</v>
      </c>
      <c r="C129">
        <v>3.92</v>
      </c>
      <c r="D129">
        <v>4.1900000000000004</v>
      </c>
      <c r="E129" s="2">
        <v>1.75</v>
      </c>
      <c r="F129">
        <v>120.6</v>
      </c>
      <c r="G129" s="5">
        <v>-8.4013399601798771</v>
      </c>
      <c r="H129">
        <v>7.7051858064516132</v>
      </c>
      <c r="I129">
        <v>9.4761904761904769E-2</v>
      </c>
      <c r="J129">
        <v>1.2810698495523809</v>
      </c>
      <c r="K129">
        <v>42.339047619047619</v>
      </c>
      <c r="L129">
        <v>-4223.5100027499993</v>
      </c>
    </row>
    <row r="130" spans="1:12" x14ac:dyDescent="0.2">
      <c r="A130" s="1">
        <v>44075</v>
      </c>
      <c r="B130">
        <v>3.81</v>
      </c>
      <c r="C130">
        <v>3.99</v>
      </c>
      <c r="D130">
        <v>4.97</v>
      </c>
      <c r="E130" s="2">
        <v>1.75</v>
      </c>
      <c r="F130">
        <v>121.8</v>
      </c>
      <c r="G130" s="5">
        <v>-8.0401064761736976</v>
      </c>
      <c r="H130">
        <v>7.7572043333333331</v>
      </c>
      <c r="I130">
        <v>0.09</v>
      </c>
      <c r="J130">
        <v>1.3910228912373839</v>
      </c>
      <c r="K130">
        <v>39.634285714285717</v>
      </c>
      <c r="L130">
        <v>-4085.939413319998</v>
      </c>
    </row>
    <row r="131" spans="1:12" x14ac:dyDescent="0.2">
      <c r="A131" s="1">
        <v>44105</v>
      </c>
      <c r="B131">
        <v>4.1900000000000004</v>
      </c>
      <c r="C131">
        <v>4.1500000000000004</v>
      </c>
      <c r="D131">
        <v>5.34</v>
      </c>
      <c r="E131" s="2">
        <v>1.75</v>
      </c>
      <c r="F131">
        <v>125.7</v>
      </c>
      <c r="G131" s="5">
        <v>0.12852796200907851</v>
      </c>
      <c r="H131">
        <v>7.7813567741935481</v>
      </c>
      <c r="I131">
        <v>0.09</v>
      </c>
      <c r="J131">
        <v>1.2303863428671633</v>
      </c>
      <c r="K131">
        <v>39.395909090909093</v>
      </c>
      <c r="L131">
        <v>67.211996360001649</v>
      </c>
    </row>
    <row r="132" spans="1:12" x14ac:dyDescent="0.2">
      <c r="A132" s="1">
        <v>44136</v>
      </c>
      <c r="B132">
        <v>4.49</v>
      </c>
      <c r="C132">
        <v>4.2699999999999996</v>
      </c>
      <c r="D132">
        <v>5.46</v>
      </c>
      <c r="E132" s="2">
        <v>1.75</v>
      </c>
      <c r="F132">
        <v>128.69999999999999</v>
      </c>
      <c r="G132" s="5">
        <v>-5.9622929413797712</v>
      </c>
      <c r="H132">
        <v>7.7888773333333337</v>
      </c>
      <c r="I132">
        <v>8.6842105263157887E-2</v>
      </c>
      <c r="J132">
        <v>1.1757452138405853</v>
      </c>
      <c r="K132">
        <v>40.937368421052632</v>
      </c>
      <c r="L132">
        <v>-3187.8839343600011</v>
      </c>
    </row>
    <row r="133" spans="1:12" x14ac:dyDescent="0.2">
      <c r="A133" s="1">
        <v>44166</v>
      </c>
      <c r="B133">
        <v>4.49</v>
      </c>
      <c r="C133">
        <v>4.26</v>
      </c>
      <c r="D133">
        <v>4.82</v>
      </c>
      <c r="E133" s="2">
        <v>1.75</v>
      </c>
      <c r="F133">
        <v>136</v>
      </c>
      <c r="G133" s="5">
        <v>-12.235359424165845</v>
      </c>
      <c r="H133">
        <v>7.8012187096774186</v>
      </c>
      <c r="I133">
        <v>0.09</v>
      </c>
      <c r="J133">
        <v>1.3204191315779497</v>
      </c>
      <c r="K133">
        <v>47.024999999999999</v>
      </c>
      <c r="L133">
        <v>-6914.2878767099974</v>
      </c>
    </row>
    <row r="134" spans="1:12" x14ac:dyDescent="0.2">
      <c r="A134" s="1">
        <v>44197</v>
      </c>
      <c r="B134">
        <v>4.33</v>
      </c>
      <c r="C134">
        <v>4.12</v>
      </c>
      <c r="D134">
        <v>5.24</v>
      </c>
      <c r="E134" s="2">
        <v>1.75</v>
      </c>
      <c r="F134">
        <v>128.80000000000001</v>
      </c>
      <c r="G134" s="5">
        <v>2.8782153111129438</v>
      </c>
      <c r="H134">
        <v>7.7900687096774197</v>
      </c>
      <c r="I134">
        <v>8.5263157894736846E-2</v>
      </c>
      <c r="J134">
        <v>1.3738437137002393</v>
      </c>
      <c r="K134">
        <v>52.008421052631583</v>
      </c>
      <c r="L134">
        <v>1543.245230660001</v>
      </c>
    </row>
    <row r="135" spans="1:12" x14ac:dyDescent="0.2">
      <c r="A135" s="1">
        <v>44228</v>
      </c>
      <c r="B135">
        <v>4.5599999999999996</v>
      </c>
      <c r="C135">
        <v>4.3899999999999997</v>
      </c>
      <c r="D135">
        <v>6</v>
      </c>
      <c r="E135" s="2">
        <v>1.75</v>
      </c>
      <c r="F135">
        <v>128.5</v>
      </c>
      <c r="G135" s="5">
        <v>-0.93243525232888702</v>
      </c>
      <c r="H135">
        <v>7.7453617857142856</v>
      </c>
      <c r="I135">
        <v>7.5789473684210532E-2</v>
      </c>
      <c r="J135">
        <v>1.6698167791706879</v>
      </c>
      <c r="K135">
        <v>59.046315789473681</v>
      </c>
      <c r="L135">
        <v>-499.45946723999992</v>
      </c>
    </row>
    <row r="136" spans="1:12" x14ac:dyDescent="0.2">
      <c r="A136" s="1">
        <v>44256</v>
      </c>
      <c r="B136">
        <v>4.5999999999999996</v>
      </c>
      <c r="C136">
        <v>4.34</v>
      </c>
      <c r="D136">
        <v>5.84</v>
      </c>
      <c r="E136" s="2">
        <v>1.75</v>
      </c>
      <c r="F136">
        <v>133</v>
      </c>
      <c r="G136" s="5">
        <v>1.1700556466498324</v>
      </c>
      <c r="H136">
        <v>7.7203283870967736</v>
      </c>
      <c r="I136">
        <v>6.9565217391304349E-2</v>
      </c>
      <c r="J136">
        <v>2.6678187820641881</v>
      </c>
      <c r="K136">
        <v>62.333043478260869</v>
      </c>
      <c r="L136">
        <v>649.23105266000039</v>
      </c>
    </row>
    <row r="137" spans="1:12" x14ac:dyDescent="0.2">
      <c r="A137" s="1">
        <v>44287</v>
      </c>
      <c r="B137">
        <v>4.54</v>
      </c>
      <c r="C137">
        <v>4.3899999999999997</v>
      </c>
      <c r="D137">
        <v>5.2</v>
      </c>
      <c r="E137" s="2">
        <v>1.75</v>
      </c>
      <c r="F137">
        <v>129.4</v>
      </c>
      <c r="G137" s="5">
        <v>-1.1116956932557516</v>
      </c>
      <c r="H137">
        <v>7.7165793333333337</v>
      </c>
      <c r="I137">
        <v>6.8636363636363648E-2</v>
      </c>
      <c r="J137">
        <v>4.1330771153605781</v>
      </c>
      <c r="K137">
        <v>61.716666666666669</v>
      </c>
      <c r="L137">
        <v>-600.33953197000119</v>
      </c>
    </row>
    <row r="138" spans="1:12" x14ac:dyDescent="0.2">
      <c r="A138" s="1">
        <v>44317</v>
      </c>
      <c r="B138">
        <v>4.54</v>
      </c>
      <c r="C138">
        <v>4.41</v>
      </c>
      <c r="D138">
        <v>5.17</v>
      </c>
      <c r="E138" s="2">
        <v>1.75</v>
      </c>
      <c r="F138">
        <v>129.4</v>
      </c>
      <c r="G138" s="5">
        <v>-2.8283733769002053</v>
      </c>
      <c r="H138">
        <v>7.7149190322580647</v>
      </c>
      <c r="I138">
        <v>5.9499999999999997E-2</v>
      </c>
      <c r="J138">
        <v>4.9182570894676303</v>
      </c>
      <c r="K138">
        <v>65.169499999999999</v>
      </c>
      <c r="L138">
        <v>-1532.72454081</v>
      </c>
    </row>
    <row r="139" spans="1:12" x14ac:dyDescent="0.2">
      <c r="A139" s="1">
        <v>44348</v>
      </c>
      <c r="B139">
        <v>4.28</v>
      </c>
      <c r="C139">
        <v>4.2300000000000004</v>
      </c>
      <c r="D139">
        <v>3.91</v>
      </c>
      <c r="E139" s="2">
        <v>1.75</v>
      </c>
      <c r="F139">
        <v>127.1</v>
      </c>
      <c r="G139" s="5">
        <v>-2.4587595462380416</v>
      </c>
      <c r="H139">
        <v>7.7385159999999997</v>
      </c>
      <c r="I139">
        <v>7.7272727272727271E-2</v>
      </c>
      <c r="J139">
        <v>5.2956326203500055</v>
      </c>
      <c r="K139">
        <v>71.378181818181815</v>
      </c>
      <c r="L139">
        <v>-1317.4599045</v>
      </c>
    </row>
    <row r="140" spans="1:12" x14ac:dyDescent="0.2">
      <c r="A140" s="1">
        <v>44378</v>
      </c>
      <c r="B140">
        <v>4.3</v>
      </c>
      <c r="C140">
        <v>4.12</v>
      </c>
      <c r="D140">
        <v>3.82</v>
      </c>
      <c r="E140" s="2">
        <v>1.75</v>
      </c>
      <c r="F140">
        <v>131</v>
      </c>
      <c r="G140" s="5">
        <v>0.95198757256736399</v>
      </c>
      <c r="H140">
        <v>7.7450883870967742</v>
      </c>
      <c r="I140">
        <v>9.8571428571428574E-2</v>
      </c>
      <c r="J140">
        <v>5.245169381309239</v>
      </c>
      <c r="K140">
        <v>72.485238095238103</v>
      </c>
      <c r="L140">
        <v>530.8554706199975</v>
      </c>
    </row>
    <row r="141" spans="1:12" x14ac:dyDescent="0.2">
      <c r="A141" s="1">
        <v>44409</v>
      </c>
      <c r="B141">
        <v>4.22</v>
      </c>
      <c r="C141">
        <v>4.1399999999999997</v>
      </c>
      <c r="D141">
        <v>3.62</v>
      </c>
      <c r="E141" s="2">
        <v>1.75</v>
      </c>
      <c r="F141">
        <v>130</v>
      </c>
      <c r="G141" s="5">
        <v>-2.3647885577902206</v>
      </c>
      <c r="H141">
        <v>7.7383851612903234</v>
      </c>
      <c r="I141">
        <v>9.3181818181818185E-2</v>
      </c>
      <c r="J141">
        <v>5.1520153017939663</v>
      </c>
      <c r="K141">
        <v>67.730454545454549</v>
      </c>
      <c r="L141">
        <v>-1317.6003476499991</v>
      </c>
    </row>
    <row r="142" spans="1:12" x14ac:dyDescent="0.2">
      <c r="A142" s="1">
        <v>44440</v>
      </c>
      <c r="B142">
        <v>4.21</v>
      </c>
      <c r="C142">
        <v>4.2</v>
      </c>
      <c r="D142">
        <v>3.67</v>
      </c>
      <c r="E142" s="2">
        <v>1.75</v>
      </c>
      <c r="F142">
        <v>129.1</v>
      </c>
      <c r="G142" s="5">
        <v>-1.8042286647677153</v>
      </c>
      <c r="H142">
        <v>7.7318636666666656</v>
      </c>
      <c r="I142">
        <v>7.9047619047619047E-2</v>
      </c>
      <c r="J142">
        <v>5.3512155909491383</v>
      </c>
      <c r="K142">
        <v>71.646190476190483</v>
      </c>
      <c r="L142">
        <v>-1002.42141989</v>
      </c>
    </row>
    <row r="143" spans="1:12" x14ac:dyDescent="0.2">
      <c r="A143" s="1">
        <v>44470</v>
      </c>
      <c r="B143">
        <v>4.22</v>
      </c>
      <c r="C143">
        <v>3.89</v>
      </c>
      <c r="D143">
        <v>2.96</v>
      </c>
      <c r="E143" s="2">
        <v>1.75</v>
      </c>
      <c r="F143">
        <v>131.4</v>
      </c>
      <c r="G143" s="5">
        <v>5.2735807446608511</v>
      </c>
      <c r="H143">
        <v>7.7314761290322576</v>
      </c>
      <c r="I143">
        <v>7.9500000000000001E-2</v>
      </c>
      <c r="J143">
        <v>6.2350423902980623</v>
      </c>
      <c r="K143">
        <v>81.476666666666674</v>
      </c>
      <c r="L143">
        <v>2986.4194399499988</v>
      </c>
    </row>
    <row r="144" spans="1:12" x14ac:dyDescent="0.2">
      <c r="A144" s="1">
        <v>44501</v>
      </c>
      <c r="B144">
        <v>4.17</v>
      </c>
      <c r="C144">
        <v>4.08</v>
      </c>
      <c r="D144">
        <v>2.89</v>
      </c>
      <c r="E144" s="2">
        <v>1.75</v>
      </c>
      <c r="F144">
        <v>136.69999999999999</v>
      </c>
      <c r="G144" s="5">
        <v>-6.1184095015086131</v>
      </c>
      <c r="H144">
        <v>7.7313693333333333</v>
      </c>
      <c r="I144">
        <v>7.9500000000000001E-2</v>
      </c>
      <c r="J144">
        <v>6.901970403700858</v>
      </c>
      <c r="K144">
        <v>79.147499999999994</v>
      </c>
      <c r="L144">
        <v>-3615.7884874700012</v>
      </c>
    </row>
    <row r="145" spans="1:12" x14ac:dyDescent="0.2">
      <c r="A145" s="1">
        <v>44531</v>
      </c>
      <c r="B145">
        <v>4.22</v>
      </c>
      <c r="C145">
        <v>4.0199999999999996</v>
      </c>
      <c r="D145">
        <v>3.07</v>
      </c>
      <c r="E145" s="2">
        <v>1.75</v>
      </c>
      <c r="F145">
        <v>141.5</v>
      </c>
      <c r="G145" s="5">
        <v>-5.8481937353231306</v>
      </c>
      <c r="H145">
        <v>7.7254141935483869</v>
      </c>
      <c r="I145">
        <v>7.9565217391304344E-2</v>
      </c>
      <c r="J145">
        <v>7.17434028506554</v>
      </c>
      <c r="K145">
        <v>71.711818181818188</v>
      </c>
      <c r="L145">
        <v>-3594.7740070800041</v>
      </c>
    </row>
    <row r="146" spans="1:12" x14ac:dyDescent="0.2">
      <c r="A146" s="1">
        <v>44562</v>
      </c>
      <c r="B146">
        <v>4.2</v>
      </c>
      <c r="C146">
        <v>4.09</v>
      </c>
      <c r="D146">
        <v>2.87</v>
      </c>
      <c r="E146" s="2">
        <v>1.75</v>
      </c>
      <c r="F146">
        <v>134.80000000000001</v>
      </c>
      <c r="G146" s="5">
        <v>3.2475120257530086</v>
      </c>
      <c r="H146">
        <v>7.7028529032258062</v>
      </c>
      <c r="I146">
        <v>0.08</v>
      </c>
      <c r="J146">
        <v>7.558805726967833</v>
      </c>
      <c r="K146">
        <v>83.221999999999994</v>
      </c>
      <c r="L146">
        <v>1914.2484374700009</v>
      </c>
    </row>
    <row r="147" spans="1:12" x14ac:dyDescent="0.2">
      <c r="A147" s="1">
        <v>44593</v>
      </c>
      <c r="B147">
        <v>3.84</v>
      </c>
      <c r="C147">
        <v>3.92</v>
      </c>
      <c r="D147">
        <v>2.98</v>
      </c>
      <c r="E147" s="2">
        <v>1.75</v>
      </c>
      <c r="F147">
        <v>134.30000000000001</v>
      </c>
      <c r="G147" s="5">
        <v>-2.3410823875807338</v>
      </c>
      <c r="H147">
        <v>7.6984914285714288</v>
      </c>
      <c r="I147">
        <v>0.08</v>
      </c>
      <c r="J147">
        <v>7.9372787665178208</v>
      </c>
      <c r="K147">
        <v>91.641052631578944</v>
      </c>
      <c r="L147">
        <v>-1381.409048209998</v>
      </c>
    </row>
    <row r="148" spans="1:12" x14ac:dyDescent="0.2">
      <c r="A148" s="1">
        <v>44621</v>
      </c>
      <c r="B148">
        <v>3.79</v>
      </c>
      <c r="C148">
        <v>3.8</v>
      </c>
      <c r="D148">
        <v>4.17</v>
      </c>
      <c r="E148" s="2">
        <v>1.75</v>
      </c>
      <c r="F148">
        <v>139.1</v>
      </c>
      <c r="G148" s="5">
        <v>1.0839162397643631</v>
      </c>
      <c r="H148">
        <v>7.694623</v>
      </c>
      <c r="I148">
        <v>0.19956521739130439</v>
      </c>
      <c r="J148">
        <v>8.5722049660138566</v>
      </c>
      <c r="K148">
        <v>108.5026086956522</v>
      </c>
      <c r="L148">
        <v>664.42532067999582</v>
      </c>
    </row>
    <row r="149" spans="1:12" x14ac:dyDescent="0.2">
      <c r="A149" s="1">
        <v>44652</v>
      </c>
      <c r="B149">
        <v>4.1399999999999997</v>
      </c>
      <c r="C149">
        <v>3.94</v>
      </c>
      <c r="D149">
        <v>4.62</v>
      </c>
      <c r="E149" s="2">
        <v>1.75</v>
      </c>
      <c r="F149">
        <v>135.80000000000001</v>
      </c>
      <c r="G149" s="5">
        <v>1.7181019556539012</v>
      </c>
      <c r="H149">
        <v>7.662973</v>
      </c>
      <c r="I149">
        <v>0.33</v>
      </c>
      <c r="J149">
        <v>8.2317507707772251</v>
      </c>
      <c r="K149">
        <v>101.7775</v>
      </c>
      <c r="L149">
        <v>1029.3593508500001</v>
      </c>
    </row>
    <row r="150" spans="1:12" x14ac:dyDescent="0.2">
      <c r="A150" s="1">
        <v>44682</v>
      </c>
      <c r="B150">
        <v>4.29</v>
      </c>
      <c r="C150">
        <v>4.01</v>
      </c>
      <c r="D150">
        <v>5.82</v>
      </c>
      <c r="E150" s="2">
        <v>2</v>
      </c>
      <c r="F150">
        <v>136.1</v>
      </c>
      <c r="G150" s="5">
        <v>-3.2527992718936916</v>
      </c>
      <c r="H150">
        <v>7.6698551612903234</v>
      </c>
      <c r="I150">
        <v>0.75857142857142856</v>
      </c>
      <c r="J150">
        <v>8.5381711956420645</v>
      </c>
      <c r="K150">
        <v>109.552380952381</v>
      </c>
      <c r="L150">
        <v>-1963.784299260001</v>
      </c>
    </row>
    <row r="151" spans="1:12" x14ac:dyDescent="0.2">
      <c r="A151" s="1">
        <v>44713</v>
      </c>
      <c r="B151">
        <v>4.6100000000000003</v>
      </c>
      <c r="C151">
        <v>4.16</v>
      </c>
      <c r="D151">
        <v>7.55</v>
      </c>
      <c r="E151" s="2">
        <v>2.25</v>
      </c>
      <c r="F151">
        <v>132.6</v>
      </c>
      <c r="G151" s="5">
        <v>-2.8555860365564931</v>
      </c>
      <c r="H151">
        <v>7.7345641379310344</v>
      </c>
      <c r="I151">
        <v>1.1871428571428571</v>
      </c>
      <c r="J151">
        <v>8.979361103105802</v>
      </c>
      <c r="K151">
        <v>114.83714285714289</v>
      </c>
      <c r="L151">
        <v>-1695.962518630005</v>
      </c>
    </row>
    <row r="152" spans="1:12" x14ac:dyDescent="0.2">
      <c r="A152" s="1">
        <v>44743</v>
      </c>
      <c r="B152">
        <v>4.88</v>
      </c>
      <c r="C152">
        <v>4.51</v>
      </c>
      <c r="D152">
        <v>8.36</v>
      </c>
      <c r="E152" s="2">
        <v>2.25</v>
      </c>
      <c r="F152">
        <v>135.5</v>
      </c>
      <c r="G152" s="5">
        <v>1.5522420577751728</v>
      </c>
      <c r="H152">
        <v>7.7394758064516127</v>
      </c>
      <c r="I152">
        <v>1.6545000000000001</v>
      </c>
      <c r="J152">
        <v>8.4625767277300952</v>
      </c>
      <c r="K152">
        <v>101.619</v>
      </c>
      <c r="L152">
        <v>955.02463625999735</v>
      </c>
    </row>
    <row r="153" spans="1:12" x14ac:dyDescent="0.2">
      <c r="A153" s="1">
        <v>44774</v>
      </c>
      <c r="B153">
        <v>5.44</v>
      </c>
      <c r="C153">
        <v>4.55</v>
      </c>
      <c r="D153">
        <v>8.8699999999999992</v>
      </c>
      <c r="E153" s="2">
        <v>2.75</v>
      </c>
      <c r="F153">
        <v>136</v>
      </c>
      <c r="G153" s="5">
        <v>-2.9092128350538045</v>
      </c>
      <c r="H153">
        <v>7.7313045161290326</v>
      </c>
      <c r="I153">
        <v>2.33</v>
      </c>
      <c r="J153">
        <v>8.2225791782188224</v>
      </c>
      <c r="K153">
        <v>93.665217391304353</v>
      </c>
      <c r="L153">
        <v>-1813.6479034299989</v>
      </c>
    </row>
    <row r="154" spans="1:12" x14ac:dyDescent="0.2">
      <c r="A154" s="1">
        <v>44805</v>
      </c>
      <c r="B154">
        <v>5.6</v>
      </c>
      <c r="C154">
        <v>4.6100000000000003</v>
      </c>
      <c r="D154">
        <v>9.0299999999999994</v>
      </c>
      <c r="E154" s="2">
        <v>3</v>
      </c>
      <c r="F154">
        <v>134.1</v>
      </c>
      <c r="G154" s="5">
        <v>-3.3159905736013129</v>
      </c>
      <c r="H154">
        <v>7.8004170000000004</v>
      </c>
      <c r="I154">
        <v>2.58</v>
      </c>
      <c r="J154">
        <v>8.1921068964258268</v>
      </c>
      <c r="K154">
        <v>84.258095238095237</v>
      </c>
      <c r="L154">
        <v>-2049.4253175800009</v>
      </c>
    </row>
    <row r="155" spans="1:12" x14ac:dyDescent="0.2">
      <c r="A155" s="1">
        <v>44835</v>
      </c>
      <c r="B155">
        <v>5.64</v>
      </c>
      <c r="C155">
        <v>4.67</v>
      </c>
      <c r="D155">
        <v>9.6999999999999993</v>
      </c>
      <c r="E155" s="2">
        <v>3</v>
      </c>
      <c r="F155">
        <v>136.30000000000001</v>
      </c>
      <c r="G155" s="5">
        <v>1.5234205815602437</v>
      </c>
      <c r="H155">
        <v>7.8651835483870967</v>
      </c>
      <c r="I155">
        <v>3.08</v>
      </c>
      <c r="J155">
        <v>7.7588139576930075</v>
      </c>
      <c r="K155">
        <v>87.554761904761904</v>
      </c>
      <c r="L155">
        <v>958.38194716999351</v>
      </c>
    </row>
    <row r="156" spans="1:12" x14ac:dyDescent="0.2">
      <c r="A156" s="1">
        <v>44866</v>
      </c>
      <c r="B156">
        <v>6.27</v>
      </c>
      <c r="C156">
        <v>4.8</v>
      </c>
      <c r="D156">
        <v>9.17</v>
      </c>
      <c r="E156" s="2">
        <v>3</v>
      </c>
      <c r="F156">
        <v>141.19999999999999</v>
      </c>
      <c r="G156" s="5">
        <v>-4.8416333736477402</v>
      </c>
      <c r="H156">
        <v>7.813936</v>
      </c>
      <c r="I156">
        <v>3.7549999999999999</v>
      </c>
      <c r="J156">
        <v>7.1228564565339809</v>
      </c>
      <c r="K156">
        <v>84.370476190476197</v>
      </c>
      <c r="L156">
        <v>-3167.0068462099989</v>
      </c>
    </row>
    <row r="157" spans="1:12" x14ac:dyDescent="0.2">
      <c r="A157" s="1">
        <v>44896</v>
      </c>
      <c r="B157">
        <v>6.15</v>
      </c>
      <c r="C157">
        <v>4.71</v>
      </c>
      <c r="D157">
        <v>9.24</v>
      </c>
      <c r="E157" s="2">
        <v>3.75</v>
      </c>
      <c r="F157">
        <v>146.19999999999999</v>
      </c>
      <c r="G157" s="5">
        <v>-8.8237486913330887</v>
      </c>
      <c r="H157">
        <v>7.8681135483870968</v>
      </c>
      <c r="I157">
        <v>4.0919047619047619</v>
      </c>
      <c r="J157">
        <v>6.404600402357147</v>
      </c>
      <c r="K157">
        <v>76.437142857142859</v>
      </c>
      <c r="L157">
        <v>-6011.9146731749879</v>
      </c>
    </row>
    <row r="158" spans="1:12" x14ac:dyDescent="0.2">
      <c r="A158" s="1">
        <v>44927</v>
      </c>
      <c r="B158">
        <v>5.47</v>
      </c>
      <c r="C158">
        <v>4.62</v>
      </c>
      <c r="D158">
        <v>9.69</v>
      </c>
      <c r="E158" s="2">
        <v>4.25</v>
      </c>
      <c r="F158">
        <v>139.4</v>
      </c>
      <c r="G158" s="5">
        <v>3.2601017399416414</v>
      </c>
      <c r="H158">
        <v>7.8489677419354837</v>
      </c>
      <c r="I158">
        <v>4.33</v>
      </c>
      <c r="J158">
        <v>6.3271785179600926</v>
      </c>
      <c r="K158">
        <v>78.123000000000005</v>
      </c>
      <c r="L158">
        <v>2135.5212268999999</v>
      </c>
    </row>
    <row r="159" spans="1:12" x14ac:dyDescent="0.2">
      <c r="A159" s="1">
        <v>44958</v>
      </c>
      <c r="B159">
        <v>5.27</v>
      </c>
      <c r="C159">
        <v>4.49</v>
      </c>
      <c r="D159">
        <v>9.92</v>
      </c>
      <c r="E159" s="2">
        <v>4.5</v>
      </c>
      <c r="F159">
        <v>140.69999999999999</v>
      </c>
      <c r="G159" s="5">
        <v>-3.8185199528919482</v>
      </c>
      <c r="H159">
        <v>7.8316503571428573</v>
      </c>
      <c r="I159">
        <v>4.5652631578947371</v>
      </c>
      <c r="J159">
        <v>5.9578207381370873</v>
      </c>
      <c r="K159">
        <v>76.832631578947371</v>
      </c>
      <c r="L159">
        <v>-2539.140220429998</v>
      </c>
    </row>
    <row r="160" spans="1:12" x14ac:dyDescent="0.2">
      <c r="A160" s="1">
        <v>44986</v>
      </c>
      <c r="B160">
        <v>5.19</v>
      </c>
      <c r="C160">
        <v>4.43</v>
      </c>
      <c r="D160">
        <v>8.7100000000000009</v>
      </c>
      <c r="E160" s="2">
        <v>4.75</v>
      </c>
      <c r="F160">
        <v>144.69999999999999</v>
      </c>
      <c r="G160" s="5">
        <v>0.36008304350981946</v>
      </c>
      <c r="H160">
        <v>7.8049770967741932</v>
      </c>
      <c r="I160">
        <v>4.6530434782608694</v>
      </c>
      <c r="J160">
        <v>4.9177193628899545</v>
      </c>
      <c r="K160">
        <v>73.277826086956523</v>
      </c>
      <c r="L160">
        <v>247.03300325000239</v>
      </c>
    </row>
    <row r="161" spans="1:12" x14ac:dyDescent="0.2">
      <c r="A161" s="1">
        <v>45017</v>
      </c>
      <c r="B161">
        <v>5.1100000000000003</v>
      </c>
      <c r="C161">
        <v>4.3899999999999997</v>
      </c>
      <c r="D161">
        <v>8.32</v>
      </c>
      <c r="E161" s="2">
        <v>5</v>
      </c>
      <c r="F161">
        <v>140.5</v>
      </c>
      <c r="G161" s="5">
        <v>-0.57797353555368558</v>
      </c>
      <c r="H161">
        <v>7.7994658620689652</v>
      </c>
      <c r="I161">
        <v>4.83</v>
      </c>
      <c r="J161">
        <v>4.9500798791243739</v>
      </c>
      <c r="K161">
        <v>79.446315789473687</v>
      </c>
      <c r="L161">
        <v>-385.24106259000109</v>
      </c>
    </row>
    <row r="162" spans="1:12" x14ac:dyDescent="0.2">
      <c r="A162" s="1">
        <v>45047</v>
      </c>
      <c r="B162">
        <v>5.03</v>
      </c>
      <c r="C162">
        <v>4.3</v>
      </c>
      <c r="D162">
        <v>6.54</v>
      </c>
      <c r="E162" s="2">
        <v>5</v>
      </c>
      <c r="F162">
        <v>141.5</v>
      </c>
      <c r="G162" s="5">
        <v>-2.9645559624993809</v>
      </c>
      <c r="H162">
        <v>7.8095416666666662</v>
      </c>
      <c r="I162">
        <v>5.0459090909090909</v>
      </c>
      <c r="J162">
        <v>4.131851231385042</v>
      </c>
      <c r="K162">
        <v>71.578181818181818</v>
      </c>
      <c r="L162">
        <v>-1993.496024379996</v>
      </c>
    </row>
    <row r="163" spans="1:12" x14ac:dyDescent="0.2">
      <c r="A163" s="1">
        <v>45078</v>
      </c>
      <c r="B163">
        <v>4.9400000000000004</v>
      </c>
      <c r="C163">
        <v>4.24</v>
      </c>
      <c r="D163">
        <v>4.93</v>
      </c>
      <c r="E163" s="2">
        <v>5</v>
      </c>
      <c r="F163">
        <v>139.5</v>
      </c>
      <c r="G163" s="5">
        <v>-3.0904753692316929</v>
      </c>
      <c r="H163">
        <v>7.8383180000000001</v>
      </c>
      <c r="I163">
        <v>5.0757142857142856</v>
      </c>
      <c r="J163">
        <v>3.070617072997095</v>
      </c>
      <c r="K163">
        <v>70.248095238095232</v>
      </c>
      <c r="L163">
        <v>-2054.6467418700081</v>
      </c>
    </row>
    <row r="164" spans="1:12" x14ac:dyDescent="0.2">
      <c r="A164" s="1">
        <v>45108</v>
      </c>
      <c r="B164">
        <v>4.67</v>
      </c>
      <c r="C164">
        <v>4.21</v>
      </c>
      <c r="D164">
        <v>4.53</v>
      </c>
      <c r="E164" s="2">
        <v>5</v>
      </c>
      <c r="F164">
        <v>142.5</v>
      </c>
      <c r="G164" s="5">
        <v>1.0631824821059443</v>
      </c>
      <c r="H164">
        <v>7.8498832258064519</v>
      </c>
      <c r="I164">
        <v>5.117</v>
      </c>
      <c r="J164">
        <v>3.2877492684282998</v>
      </c>
      <c r="K164">
        <v>76.069500000000005</v>
      </c>
      <c r="L164">
        <v>724.89499476000856</v>
      </c>
    </row>
    <row r="165" spans="1:12" x14ac:dyDescent="0.2">
      <c r="A165" s="1">
        <v>45139</v>
      </c>
      <c r="B165">
        <v>4.5599999999999996</v>
      </c>
      <c r="C165">
        <v>4.17</v>
      </c>
      <c r="D165">
        <v>4.47</v>
      </c>
      <c r="E165" s="2">
        <v>5</v>
      </c>
      <c r="F165">
        <v>141</v>
      </c>
      <c r="G165" s="5">
        <v>-2.2673623118790389</v>
      </c>
      <c r="H165">
        <v>7.8596199999999996</v>
      </c>
      <c r="I165">
        <v>5.33</v>
      </c>
      <c r="J165">
        <v>3.7225048035052879</v>
      </c>
      <c r="K165">
        <v>81.386086956521737</v>
      </c>
      <c r="L165">
        <v>-1539.5688588000189</v>
      </c>
    </row>
    <row r="166" spans="1:12" x14ac:dyDescent="0.2">
      <c r="A166" s="1">
        <v>45170</v>
      </c>
      <c r="B166">
        <v>4.4400000000000004</v>
      </c>
      <c r="C166">
        <v>4.1500000000000004</v>
      </c>
      <c r="D166">
        <v>4.6900000000000004</v>
      </c>
      <c r="E166" s="2">
        <v>5</v>
      </c>
      <c r="F166">
        <v>138.69999999999999</v>
      </c>
      <c r="G166" s="5">
        <v>-2.0450145026570001</v>
      </c>
      <c r="H166">
        <v>7.8674573333333333</v>
      </c>
      <c r="I166">
        <v>5.33</v>
      </c>
      <c r="J166">
        <v>3.6872066381192496</v>
      </c>
      <c r="K166">
        <v>89.424999999999997</v>
      </c>
      <c r="L166">
        <v>-1378.154766489979</v>
      </c>
    </row>
    <row r="167" spans="1:12" x14ac:dyDescent="0.2">
      <c r="A167" s="1">
        <v>45200</v>
      </c>
      <c r="B167">
        <v>4.54</v>
      </c>
      <c r="C167">
        <v>4.32</v>
      </c>
      <c r="D167">
        <v>4.9800000000000004</v>
      </c>
      <c r="E167" s="2">
        <v>5</v>
      </c>
      <c r="F167">
        <v>137.9</v>
      </c>
      <c r="G167" s="5">
        <v>4.5262501829278081</v>
      </c>
      <c r="H167">
        <v>7.8427151612903234</v>
      </c>
      <c r="I167">
        <v>5.33</v>
      </c>
      <c r="J167">
        <v>3.2512659098611749</v>
      </c>
      <c r="K167">
        <v>85.639523809523808</v>
      </c>
      <c r="L167">
        <v>3066.9583096099982</v>
      </c>
    </row>
    <row r="168" spans="1:12" x14ac:dyDescent="0.2">
      <c r="A168" s="1">
        <v>45231</v>
      </c>
      <c r="B168">
        <v>4.5</v>
      </c>
      <c r="C168">
        <v>4.43</v>
      </c>
      <c r="D168">
        <v>4.3</v>
      </c>
      <c r="E168" s="2">
        <v>5</v>
      </c>
      <c r="F168">
        <v>144.5</v>
      </c>
      <c r="G168" s="5">
        <v>-4.0601096419925673</v>
      </c>
      <c r="H168">
        <v>7.8273790000000014</v>
      </c>
      <c r="I168">
        <v>5.33</v>
      </c>
      <c r="J168">
        <v>3.1333462745911902</v>
      </c>
      <c r="K168">
        <v>77.685000000000002</v>
      </c>
      <c r="L168">
        <v>-2899.7948563999912</v>
      </c>
    </row>
    <row r="169" spans="1:12" x14ac:dyDescent="0.2">
      <c r="A169" s="1">
        <v>45261</v>
      </c>
      <c r="B169">
        <v>4.4800000000000004</v>
      </c>
      <c r="C169">
        <v>4.32</v>
      </c>
      <c r="D169">
        <v>4.18</v>
      </c>
      <c r="E169" s="2">
        <v>5</v>
      </c>
      <c r="F169">
        <v>149.19999999999999</v>
      </c>
      <c r="G169" s="5">
        <v>-4.9001254382054364</v>
      </c>
      <c r="H169">
        <v>7.8241616129032261</v>
      </c>
      <c r="I169">
        <v>5.33</v>
      </c>
      <c r="J169">
        <v>3.3159099427102916</v>
      </c>
      <c r="K169">
        <v>71.900000000000006</v>
      </c>
      <c r="L169">
        <v>-3614.954752040027</v>
      </c>
    </row>
    <row r="170" spans="1:12" x14ac:dyDescent="0.2">
      <c r="A170" s="1">
        <v>45292</v>
      </c>
      <c r="B170">
        <v>4.47</v>
      </c>
      <c r="C170">
        <v>4.29</v>
      </c>
      <c r="D170">
        <v>3.82</v>
      </c>
      <c r="E170" s="2">
        <v>5</v>
      </c>
      <c r="F170">
        <v>144.69999999999999</v>
      </c>
      <c r="G170" s="5">
        <v>3.1882733954853339</v>
      </c>
      <c r="H170">
        <v>7.818480322580645</v>
      </c>
      <c r="I170">
        <v>5.33</v>
      </c>
      <c r="J170">
        <v>3.0883429864855714</v>
      </c>
      <c r="K170">
        <v>74.152380952380952</v>
      </c>
      <c r="L170">
        <v>2269.0783573699991</v>
      </c>
    </row>
    <row r="171" spans="1:12" x14ac:dyDescent="0.2">
      <c r="A171" s="1">
        <v>45323</v>
      </c>
      <c r="B171">
        <v>4.3499999999999996</v>
      </c>
      <c r="C171">
        <v>4.28</v>
      </c>
      <c r="D171">
        <v>3.3</v>
      </c>
      <c r="E171" s="2">
        <v>5</v>
      </c>
      <c r="F171">
        <v>144.5</v>
      </c>
      <c r="G171" s="5">
        <v>-0.83539023621327491</v>
      </c>
      <c r="H171">
        <v>7.8108689655172414</v>
      </c>
      <c r="I171">
        <v>5.33</v>
      </c>
      <c r="J171">
        <v>3.1570741416486925</v>
      </c>
      <c r="K171">
        <v>77.248999999999995</v>
      </c>
      <c r="L171">
        <v>-591.07685262999894</v>
      </c>
    </row>
    <row r="172" spans="1:12" x14ac:dyDescent="0.2">
      <c r="A172" s="1">
        <v>45352</v>
      </c>
      <c r="B172">
        <v>4.05</v>
      </c>
      <c r="C172">
        <v>4.1399999999999997</v>
      </c>
      <c r="D172">
        <v>3.24</v>
      </c>
      <c r="E172" s="2">
        <v>5</v>
      </c>
      <c r="F172">
        <v>147.80000000000001</v>
      </c>
      <c r="G172" s="5">
        <v>2.1643935968412822</v>
      </c>
      <c r="H172">
        <v>7.8031716129032258</v>
      </c>
      <c r="I172">
        <v>5.33</v>
      </c>
      <c r="J172">
        <v>3.4868349120836513</v>
      </c>
      <c r="K172">
        <v>81.278000000000006</v>
      </c>
      <c r="L172">
        <v>1560.723016490002</v>
      </c>
    </row>
    <row r="173" spans="1:12" x14ac:dyDescent="0.2">
      <c r="A173" s="1">
        <v>45383</v>
      </c>
      <c r="B173">
        <v>3.85</v>
      </c>
      <c r="C173">
        <v>4.0199999999999996</v>
      </c>
      <c r="D173">
        <v>3.36</v>
      </c>
      <c r="E173" s="2">
        <v>5</v>
      </c>
      <c r="F173">
        <v>146.4</v>
      </c>
      <c r="G173" s="5">
        <v>3.9145529047399137</v>
      </c>
      <c r="H173">
        <v>7.7795316666666672</v>
      </c>
      <c r="I173">
        <v>5.33</v>
      </c>
      <c r="J173">
        <v>3.3607951262196707</v>
      </c>
      <c r="K173">
        <v>85.347272727272724</v>
      </c>
      <c r="L173">
        <v>2788.3457993900029</v>
      </c>
    </row>
    <row r="174" spans="1:12" x14ac:dyDescent="0.2">
      <c r="A174" s="1">
        <v>45413</v>
      </c>
      <c r="B174">
        <v>3.97</v>
      </c>
      <c r="C174">
        <v>3.99</v>
      </c>
      <c r="D174">
        <v>3.76</v>
      </c>
      <c r="E174" s="2">
        <v>5</v>
      </c>
      <c r="F174">
        <v>147.9</v>
      </c>
      <c r="G174" s="5">
        <v>-1.5967578401958071</v>
      </c>
      <c r="H174">
        <v>7.7678532258064514</v>
      </c>
      <c r="I174">
        <v>5.33</v>
      </c>
      <c r="J174">
        <v>3.2442785840031121</v>
      </c>
      <c r="K174">
        <v>80.024545454545461</v>
      </c>
      <c r="L174">
        <v>-1151.269050190007</v>
      </c>
    </row>
    <row r="175" spans="1:12" x14ac:dyDescent="0.2">
      <c r="A175" s="1">
        <v>45444</v>
      </c>
      <c r="B175">
        <v>3.99</v>
      </c>
      <c r="C175">
        <v>4.0199999999999996</v>
      </c>
      <c r="D175">
        <v>3.62</v>
      </c>
      <c r="E175" s="2">
        <v>5</v>
      </c>
      <c r="F175">
        <v>143</v>
      </c>
      <c r="G175" s="5">
        <v>-4.3920811176871677</v>
      </c>
      <c r="H175">
        <v>7.7649127586206896</v>
      </c>
      <c r="I175">
        <v>5.33</v>
      </c>
      <c r="J175">
        <v>2.9702579486470881</v>
      </c>
      <c r="K175">
        <v>79.767368421052637</v>
      </c>
      <c r="L175">
        <v>-3082.258462419984</v>
      </c>
    </row>
    <row r="176" spans="1:12" x14ac:dyDescent="0.2">
      <c r="A176" s="1">
        <v>45474</v>
      </c>
      <c r="B176">
        <v>4.09</v>
      </c>
      <c r="C176">
        <v>4.07</v>
      </c>
      <c r="D176">
        <v>3.78</v>
      </c>
      <c r="E176" s="2">
        <v>5</v>
      </c>
      <c r="F176">
        <v>146.4</v>
      </c>
      <c r="G176" s="5">
        <v>2.3027696398884046</v>
      </c>
      <c r="H176">
        <v>7.7551870967741934</v>
      </c>
      <c r="I176">
        <v>5.33</v>
      </c>
      <c r="J176">
        <v>2.9414757935582969</v>
      </c>
      <c r="K176">
        <v>81.800454545454542</v>
      </c>
      <c r="L176">
        <v>1672.964286090006</v>
      </c>
    </row>
    <row r="177" spans="1:12" x14ac:dyDescent="0.2">
      <c r="A177" s="1">
        <v>45505</v>
      </c>
      <c r="B177">
        <v>3.99</v>
      </c>
      <c r="C177">
        <v>4.0199999999999996</v>
      </c>
      <c r="D177">
        <v>3.07</v>
      </c>
      <c r="E177" s="2">
        <v>5</v>
      </c>
      <c r="F177">
        <v>146.30000000000001</v>
      </c>
      <c r="G177" s="5">
        <v>-2.2250172558113368</v>
      </c>
      <c r="H177">
        <v>7.7377112903225811</v>
      </c>
      <c r="I177">
        <v>5.33</v>
      </c>
      <c r="J177">
        <v>2.6071444906920362</v>
      </c>
      <c r="K177">
        <v>76.683181818181822</v>
      </c>
      <c r="L177">
        <v>-1632.884159570001</v>
      </c>
    </row>
    <row r="178" spans="1:12" x14ac:dyDescent="0.2">
      <c r="A178" s="1">
        <v>45536</v>
      </c>
      <c r="B178">
        <v>4.04</v>
      </c>
      <c r="C178">
        <v>3.97</v>
      </c>
      <c r="D178">
        <v>2.11</v>
      </c>
      <c r="E178" s="2">
        <v>4.75</v>
      </c>
      <c r="F178">
        <v>144.30000000000001</v>
      </c>
      <c r="G178" s="5">
        <v>-1.4672198868395092</v>
      </c>
      <c r="H178">
        <v>7.7293876666666668</v>
      </c>
      <c r="I178">
        <v>5.13</v>
      </c>
      <c r="J178">
        <v>2.4264830315416646</v>
      </c>
      <c r="K178">
        <v>70.236000000000004</v>
      </c>
      <c r="L178">
        <v>-1073.188980800023</v>
      </c>
    </row>
    <row r="179" spans="1:12" x14ac:dyDescent="0.2">
      <c r="A179" s="1">
        <v>45566</v>
      </c>
      <c r="B179">
        <v>3.91</v>
      </c>
      <c r="C179">
        <v>3.96</v>
      </c>
      <c r="D179">
        <v>1.1599999999999999</v>
      </c>
      <c r="E179" s="2">
        <v>4.75</v>
      </c>
      <c r="F179">
        <v>147.30000000000001</v>
      </c>
      <c r="G179" s="5">
        <v>-1.0197875846344524</v>
      </c>
      <c r="H179">
        <v>7.7274316129032261</v>
      </c>
      <c r="I179">
        <v>4.83</v>
      </c>
      <c r="J179">
        <v>2.578844053871336</v>
      </c>
      <c r="K179">
        <v>71.984999999999999</v>
      </c>
      <c r="L179">
        <v>-769.17271711999274</v>
      </c>
    </row>
    <row r="180" spans="1:12" x14ac:dyDescent="0.2">
      <c r="A180" s="1">
        <v>45597</v>
      </c>
      <c r="B180">
        <v>3.59</v>
      </c>
      <c r="C180">
        <v>3.66</v>
      </c>
      <c r="D180">
        <v>1.66</v>
      </c>
      <c r="E180" s="2">
        <v>4.5</v>
      </c>
      <c r="F180">
        <v>149.9</v>
      </c>
      <c r="G180" s="5">
        <v>-3.326793373043694</v>
      </c>
      <c r="H180">
        <v>7.7190334482758622</v>
      </c>
      <c r="I180">
        <v>4.6457894736842107</v>
      </c>
      <c r="J180">
        <v>2.7194724612848376</v>
      </c>
      <c r="K180">
        <v>69.95</v>
      </c>
      <c r="L180">
        <v>-2565.4124727599842</v>
      </c>
    </row>
    <row r="181" spans="1:12" x14ac:dyDescent="0.2">
      <c r="A181" s="1">
        <v>45627</v>
      </c>
      <c r="B181">
        <v>3.89</v>
      </c>
      <c r="C181">
        <v>3.95</v>
      </c>
      <c r="D181">
        <v>1.7</v>
      </c>
      <c r="E181" s="2">
        <v>4.5</v>
      </c>
      <c r="F181">
        <v>153.69999999999999</v>
      </c>
      <c r="G181" s="5">
        <v>-7.4177546754538302</v>
      </c>
      <c r="H181">
        <v>7.7034099999999999</v>
      </c>
      <c r="I181">
        <v>4.4847619047619052</v>
      </c>
      <c r="J181">
        <v>2.8706909675099865</v>
      </c>
      <c r="K181">
        <v>70.118095238095236</v>
      </c>
      <c r="L181">
        <v>-5860.1352891800279</v>
      </c>
    </row>
    <row r="182" spans="1:12" x14ac:dyDescent="0.2">
      <c r="A182" s="1">
        <v>45658</v>
      </c>
      <c r="B182">
        <v>3.54</v>
      </c>
      <c r="C182">
        <v>3.76</v>
      </c>
      <c r="D182">
        <v>2.19</v>
      </c>
      <c r="E182" s="2">
        <v>4.5</v>
      </c>
      <c r="F182">
        <v>150.19999999999999</v>
      </c>
      <c r="G182" s="5">
        <v>2.6309107406799281</v>
      </c>
      <c r="H182">
        <v>7.7157832258064518</v>
      </c>
      <c r="I182">
        <v>4.33</v>
      </c>
      <c r="J182">
        <v>2.9909783078999652</v>
      </c>
      <c r="K182">
        <v>75.742500000000007</v>
      </c>
      <c r="L182">
        <v>2017.9724427000001</v>
      </c>
    </row>
    <row r="183" spans="1:12" x14ac:dyDescent="0.2">
      <c r="A183" s="1">
        <v>45689</v>
      </c>
      <c r="B183">
        <v>3.65</v>
      </c>
      <c r="C183">
        <v>3.79</v>
      </c>
      <c r="D183">
        <v>1.79</v>
      </c>
      <c r="E183" s="2">
        <v>4.5</v>
      </c>
      <c r="F183">
        <v>149.69999999999999</v>
      </c>
      <c r="G183" s="5">
        <v>-1.8430033173539555</v>
      </c>
      <c r="H183">
        <v>7.7146142857142861</v>
      </c>
      <c r="I183">
        <v>4.33</v>
      </c>
      <c r="J183">
        <v>2.8015834477613311</v>
      </c>
      <c r="K183">
        <v>71.533157894736846</v>
      </c>
      <c r="L183">
        <v>-1402.37166164</v>
      </c>
    </row>
    <row r="184" spans="1:12" x14ac:dyDescent="0.2">
      <c r="A184" s="1">
        <v>45717</v>
      </c>
      <c r="B184">
        <v>3.46</v>
      </c>
      <c r="C184">
        <v>3.71</v>
      </c>
      <c r="D184">
        <v>1.57</v>
      </c>
      <c r="E184" s="2">
        <v>4.5</v>
      </c>
      <c r="F184">
        <v>154.30000000000001</v>
      </c>
      <c r="G184" s="5">
        <v>-0.15309297052260934</v>
      </c>
      <c r="H184">
        <v>7.7058099999999996</v>
      </c>
      <c r="I184">
        <v>4.33</v>
      </c>
      <c r="J184">
        <v>2.3819814628055553</v>
      </c>
      <c r="K184">
        <v>68.239047619047625</v>
      </c>
      <c r="L184">
        <v>-119.73444582000231</v>
      </c>
    </row>
    <row r="185" spans="1:12" x14ac:dyDescent="0.2">
      <c r="A185" s="1">
        <v>45748</v>
      </c>
      <c r="B185">
        <v>3.53</v>
      </c>
      <c r="C185">
        <v>3.62</v>
      </c>
      <c r="D185">
        <v>1.47</v>
      </c>
      <c r="E185" s="2">
        <v>4.5</v>
      </c>
      <c r="F185">
        <v>152.30000000000001</v>
      </c>
      <c r="G185" s="5">
        <v>1.5769955055719727</v>
      </c>
      <c r="H185">
        <v>7.701962</v>
      </c>
      <c r="I185">
        <v>4.33</v>
      </c>
      <c r="J185">
        <v>2.325388230257829</v>
      </c>
      <c r="K185">
        <v>63.536666666666669</v>
      </c>
      <c r="L185">
        <v>1216.3249204299971</v>
      </c>
    </row>
    <row r="186" spans="1:12" x14ac:dyDescent="0.2">
      <c r="A186" s="1">
        <v>45778</v>
      </c>
      <c r="B186">
        <v>3.35</v>
      </c>
      <c r="C186">
        <v>3.55</v>
      </c>
      <c r="D186">
        <v>1.69</v>
      </c>
      <c r="E186" s="2">
        <v>4.5</v>
      </c>
      <c r="F186">
        <v>154.19999999999999</v>
      </c>
      <c r="G186" s="5">
        <v>-1.8177607686587838</v>
      </c>
      <c r="H186">
        <v>7.6765809677419359</v>
      </c>
      <c r="I186">
        <v>4.33</v>
      </c>
      <c r="J186">
        <v>2.377265107368089</v>
      </c>
      <c r="K186">
        <v>62.167619047619048</v>
      </c>
      <c r="L186">
        <v>-1422.0858616700009</v>
      </c>
    </row>
    <row r="187" spans="1:12" x14ac:dyDescent="0.2">
      <c r="A187" s="1">
        <v>45809</v>
      </c>
      <c r="B187">
        <v>3.17</v>
      </c>
      <c r="C187">
        <v>3.53</v>
      </c>
      <c r="D187">
        <v>1.79</v>
      </c>
      <c r="E187" s="2">
        <v>4.5</v>
      </c>
      <c r="F187">
        <v>148.6</v>
      </c>
      <c r="G187" s="5">
        <v>-5.4831579248834057</v>
      </c>
      <c r="H187">
        <v>7.6822836666666667</v>
      </c>
      <c r="I187">
        <v>4.33</v>
      </c>
      <c r="J187">
        <v>2.6804538659102235</v>
      </c>
      <c r="K187">
        <v>68.168999999999997</v>
      </c>
      <c r="L187">
        <v>-4152.5231734399922</v>
      </c>
    </row>
    <row r="188" spans="1:12" x14ac:dyDescent="0.2">
      <c r="A188" s="1">
        <v>45839</v>
      </c>
      <c r="B188">
        <v>3.26</v>
      </c>
      <c r="C188">
        <v>3.54</v>
      </c>
      <c r="D188">
        <v>1.17</v>
      </c>
      <c r="E188" s="2">
        <v>4.5</v>
      </c>
      <c r="F188">
        <v>153</v>
      </c>
      <c r="G188" s="5">
        <v>0.70822389412980857</v>
      </c>
      <c r="H188">
        <v>7.673394516129032</v>
      </c>
      <c r="I188">
        <v>4.33</v>
      </c>
      <c r="J188">
        <v>2.7426180521671313</v>
      </c>
      <c r="K188">
        <v>68.390909090909091</v>
      </c>
      <c r="L188">
        <v>556.15592144999573</v>
      </c>
    </row>
    <row r="189" spans="1:12" x14ac:dyDescent="0.2">
      <c r="A189" s="1">
        <v>45870</v>
      </c>
      <c r="B189">
        <v>3.21</v>
      </c>
      <c r="C189">
        <v>3.49</v>
      </c>
      <c r="D189">
        <v>1.17</v>
      </c>
      <c r="E189" s="2">
        <v>4.25</v>
      </c>
      <c r="F189">
        <v>151.6</v>
      </c>
      <c r="G189" s="5">
        <v>-3.7889740852585638</v>
      </c>
      <c r="H189">
        <v>7.6622829032258064</v>
      </c>
      <c r="I189">
        <v>4.33</v>
      </c>
      <c r="J189">
        <v>2.9385917430316226</v>
      </c>
      <c r="K189">
        <v>64.864285714285714</v>
      </c>
      <c r="L189">
        <v>-2961.990250560023</v>
      </c>
    </row>
    <row r="190" spans="1:12" x14ac:dyDescent="0.2">
      <c r="A190" s="1">
        <v>45901</v>
      </c>
      <c r="B190">
        <v>3.16</v>
      </c>
      <c r="C190">
        <v>3.42</v>
      </c>
      <c r="D190">
        <v>1.47</v>
      </c>
      <c r="E190" s="2">
        <v>4</v>
      </c>
      <c r="F190">
        <v>150.9</v>
      </c>
      <c r="G190" s="5">
        <v>-3.3000373416351829</v>
      </c>
      <c r="H190">
        <v>7.6576589999999998</v>
      </c>
      <c r="I190">
        <v>4.2261904761904763</v>
      </c>
      <c r="J190">
        <v>3.022571584713333</v>
      </c>
      <c r="K190">
        <v>63.959047619047617</v>
      </c>
      <c r="L190">
        <v>-2573.825622199975</v>
      </c>
    </row>
    <row r="191" spans="1:12" x14ac:dyDescent="0.2">
      <c r="A191" s="1">
        <v>45931</v>
      </c>
      <c r="B191">
        <v>3.1</v>
      </c>
      <c r="C191">
        <v>3.37</v>
      </c>
      <c r="D191">
        <v>1.26</v>
      </c>
      <c r="E191" s="2">
        <v>4</v>
      </c>
      <c r="F191">
        <v>153</v>
      </c>
      <c r="G191" s="5">
        <v>3.1646829326903161</v>
      </c>
      <c r="H191">
        <v>7.6565799999999999</v>
      </c>
      <c r="I191">
        <v>4.0822727272727271</v>
      </c>
      <c r="J191">
        <v>2</v>
      </c>
      <c r="K191">
        <v>60.894545454545451</v>
      </c>
      <c r="L191">
        <v>2479.322603079976</v>
      </c>
    </row>
    <row r="192" spans="1:12" x14ac:dyDescent="0.2">
      <c r="A192" s="1">
        <v>45962</v>
      </c>
      <c r="B192">
        <v>3</v>
      </c>
      <c r="C192">
        <v>3.3</v>
      </c>
      <c r="D192">
        <v>1.73</v>
      </c>
      <c r="E192" s="2">
        <v>3.75</v>
      </c>
      <c r="F192">
        <v>156.30000000000001</v>
      </c>
      <c r="G192" s="5">
        <v>-5.3917746955354158</v>
      </c>
      <c r="H192">
        <v>7.6556176666666671</v>
      </c>
      <c r="I192">
        <v>3.876666666666666</v>
      </c>
      <c r="J192">
        <v>2.6964439164939478</v>
      </c>
      <c r="K192">
        <v>60.062222222222218</v>
      </c>
      <c r="L192">
        <v>-4335.3129750599837</v>
      </c>
    </row>
    <row r="193" spans="1:11" x14ac:dyDescent="0.2">
      <c r="A193" s="1">
        <v>45992</v>
      </c>
      <c r="B193">
        <v>3.48</v>
      </c>
      <c r="C193">
        <v>3.72</v>
      </c>
      <c r="D193">
        <v>1.65</v>
      </c>
      <c r="E193" s="2">
        <v>3.75</v>
      </c>
      <c r="F193">
        <v>160.9</v>
      </c>
      <c r="H193">
        <v>7.6568319354838712</v>
      </c>
      <c r="I193">
        <v>3.730909090909091</v>
      </c>
      <c r="J193">
        <v>2.6533041145577556</v>
      </c>
      <c r="K193">
        <v>57.972272727272717</v>
      </c>
    </row>
    <row r="194" spans="1:11" x14ac:dyDescent="0.2">
      <c r="A194" s="1">
        <v>46023</v>
      </c>
      <c r="B194">
        <v>3.44</v>
      </c>
      <c r="C194">
        <v>3.64</v>
      </c>
      <c r="D194">
        <v>0.96</v>
      </c>
      <c r="E194" s="2">
        <v>3.75</v>
      </c>
      <c r="F194">
        <v>156.80000000000001</v>
      </c>
      <c r="H194">
        <v>7.6652754838709676</v>
      </c>
      <c r="I194">
        <v>3.64</v>
      </c>
      <c r="J194">
        <v>2.3912014321500124</v>
      </c>
      <c r="K194">
        <v>60.036999999999999</v>
      </c>
    </row>
    <row r="195" spans="1:11" x14ac:dyDescent="0.2">
      <c r="A195" s="1">
        <v>46054</v>
      </c>
      <c r="B195">
        <v>3.41</v>
      </c>
      <c r="C195">
        <v>3.62</v>
      </c>
      <c r="E195" s="2">
        <v>3.5</v>
      </c>
      <c r="H195">
        <v>7.6648453571428572</v>
      </c>
      <c r="I195">
        <v>3.64</v>
      </c>
      <c r="K195">
        <v>64.508421052631576</v>
      </c>
    </row>
    <row r="196" spans="1:11" x14ac:dyDescent="0.2">
      <c r="A196" s="1">
        <v>46082</v>
      </c>
      <c r="H196">
        <v>7.6634271428571434</v>
      </c>
      <c r="I196">
        <v>3.64</v>
      </c>
      <c r="K196">
        <v>71.13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8807-45AB-E541-A5CE-088AF9A4C50E}">
  <dimension ref="A2:K198"/>
  <sheetViews>
    <sheetView workbookViewId="0">
      <selection activeCell="K4" sqref="K4:K194"/>
    </sheetView>
  </sheetViews>
  <sheetFormatPr baseColWidth="10" defaultRowHeight="16" x14ac:dyDescent="0.2"/>
  <cols>
    <col min="10" max="10" width="11.5" bestFit="1" customWidth="1"/>
  </cols>
  <sheetData>
    <row r="2" spans="2:11" x14ac:dyDescent="0.2">
      <c r="B2" t="s">
        <v>10</v>
      </c>
      <c r="C2" t="s">
        <v>11</v>
      </c>
    </row>
    <row r="3" spans="2:11" x14ac:dyDescent="0.2">
      <c r="I3" t="s">
        <v>114</v>
      </c>
      <c r="J3" t="s">
        <v>115</v>
      </c>
      <c r="K3" t="s">
        <v>116</v>
      </c>
    </row>
    <row r="4" spans="2:11" x14ac:dyDescent="0.2">
      <c r="B4" t="s">
        <v>12</v>
      </c>
      <c r="C4">
        <v>39611.100000000006</v>
      </c>
      <c r="E4" t="s">
        <v>48</v>
      </c>
      <c r="F4">
        <v>83764.10000000002</v>
      </c>
      <c r="G4" s="1">
        <v>40179</v>
      </c>
      <c r="H4">
        <v>88.4</v>
      </c>
      <c r="I4">
        <f t="array" ref="I4:I192">[1]!XLPBM_t(H4:H192,F4:F66)</f>
        <v>27607.87621693403</v>
      </c>
      <c r="J4">
        <v>386.30000000000018</v>
      </c>
      <c r="K4">
        <f>J4/I4*100</f>
        <v>1.3992383802527075</v>
      </c>
    </row>
    <row r="5" spans="2:11" x14ac:dyDescent="0.2">
      <c r="B5" t="s">
        <v>13</v>
      </c>
      <c r="C5">
        <v>36977.300000000003</v>
      </c>
      <c r="E5" t="s">
        <v>49</v>
      </c>
      <c r="F5">
        <v>80946.299999999988</v>
      </c>
      <c r="G5" s="1">
        <v>40210</v>
      </c>
      <c r="H5">
        <v>87.1</v>
      </c>
      <c r="I5">
        <v>27091.935653746677</v>
      </c>
      <c r="J5">
        <v>-734.60000000000036</v>
      </c>
      <c r="K5">
        <f t="shared" ref="K5:K68" si="0">J5/I5*100</f>
        <v>-2.7115079903801886</v>
      </c>
    </row>
    <row r="6" spans="2:11" x14ac:dyDescent="0.2">
      <c r="B6" t="s">
        <v>14</v>
      </c>
      <c r="C6">
        <v>37689.300000000003</v>
      </c>
      <c r="E6" t="s">
        <v>50</v>
      </c>
      <c r="F6">
        <v>82168.100000000006</v>
      </c>
      <c r="G6" s="1">
        <v>40238</v>
      </c>
      <c r="H6">
        <v>94.2</v>
      </c>
      <c r="I6">
        <v>29064.288129319295</v>
      </c>
      <c r="J6">
        <v>-841.69999999999936</v>
      </c>
      <c r="K6">
        <f t="shared" si="0"/>
        <v>-2.89599386110859</v>
      </c>
    </row>
    <row r="7" spans="2:11" x14ac:dyDescent="0.2">
      <c r="B7" t="s">
        <v>15</v>
      </c>
      <c r="C7">
        <v>40711.1</v>
      </c>
      <c r="E7" t="s">
        <v>51</v>
      </c>
      <c r="F7">
        <v>87555.7</v>
      </c>
      <c r="G7" s="1">
        <v>40269</v>
      </c>
      <c r="H7">
        <v>89.7</v>
      </c>
      <c r="I7">
        <v>27330.430307036771</v>
      </c>
      <c r="J7">
        <v>668.19999999999982</v>
      </c>
      <c r="K7">
        <f t="shared" si="0"/>
        <v>2.4448938143061665</v>
      </c>
    </row>
    <row r="8" spans="2:11" x14ac:dyDescent="0.2">
      <c r="B8" t="s">
        <v>16</v>
      </c>
      <c r="C8">
        <v>43258.8</v>
      </c>
      <c r="E8" t="s">
        <v>52</v>
      </c>
      <c r="F8">
        <v>91460.7</v>
      </c>
      <c r="G8" s="1">
        <v>40299</v>
      </c>
      <c r="H8">
        <v>88.3</v>
      </c>
      <c r="I8">
        <v>26833.158923272906</v>
      </c>
      <c r="J8">
        <v>-2090.7999999999988</v>
      </c>
      <c r="K8">
        <f t="shared" si="0"/>
        <v>-7.7918518873549711</v>
      </c>
    </row>
    <row r="9" spans="2:11" x14ac:dyDescent="0.2">
      <c r="B9" t="s">
        <v>17</v>
      </c>
      <c r="C9">
        <v>41448.700000000004</v>
      </c>
      <c r="E9" t="s">
        <v>53</v>
      </c>
      <c r="F9">
        <v>89623.099999999991</v>
      </c>
      <c r="G9" s="1">
        <v>40330</v>
      </c>
      <c r="H9">
        <v>87.5</v>
      </c>
      <c r="I9">
        <v>26782.710769690311</v>
      </c>
      <c r="J9">
        <v>-476.89999999999918</v>
      </c>
      <c r="K9">
        <f t="shared" si="0"/>
        <v>-1.7806263305494137</v>
      </c>
    </row>
    <row r="10" spans="2:11" x14ac:dyDescent="0.2">
      <c r="B10" t="s">
        <v>18</v>
      </c>
      <c r="C10">
        <v>42519.299999999996</v>
      </c>
      <c r="E10" t="s">
        <v>54</v>
      </c>
      <c r="F10">
        <v>92060.3</v>
      </c>
      <c r="G10" s="1">
        <v>40360</v>
      </c>
      <c r="H10">
        <v>88.1</v>
      </c>
      <c r="I10">
        <v>27422.480264664289</v>
      </c>
      <c r="J10">
        <v>-703.50000000000182</v>
      </c>
      <c r="K10">
        <f t="shared" si="0"/>
        <v>-2.5654134608185277</v>
      </c>
    </row>
    <row r="11" spans="2:11" x14ac:dyDescent="0.2">
      <c r="B11" t="s">
        <v>19</v>
      </c>
      <c r="C11">
        <v>44219.700000000004</v>
      </c>
      <c r="E11" t="s">
        <v>55</v>
      </c>
      <c r="F11">
        <v>96205.999999999985</v>
      </c>
      <c r="G11" s="1">
        <v>40391</v>
      </c>
      <c r="H11">
        <v>87.3</v>
      </c>
      <c r="I11">
        <v>27409.207602900053</v>
      </c>
      <c r="J11">
        <v>-1606.600000000001</v>
      </c>
      <c r="K11">
        <f t="shared" si="0"/>
        <v>-5.8615339169090515</v>
      </c>
    </row>
    <row r="12" spans="2:11" x14ac:dyDescent="0.2">
      <c r="B12" t="s">
        <v>20</v>
      </c>
      <c r="C12">
        <v>47396.9</v>
      </c>
      <c r="E12" t="s">
        <v>56</v>
      </c>
      <c r="F12">
        <v>98146.8</v>
      </c>
      <c r="G12" s="1">
        <v>40422</v>
      </c>
      <c r="H12">
        <v>87</v>
      </c>
      <c r="I12">
        <v>27336.412132435653</v>
      </c>
      <c r="J12">
        <v>-898.80000000000064</v>
      </c>
      <c r="K12">
        <f t="shared" si="0"/>
        <v>-3.2879223346707653</v>
      </c>
    </row>
    <row r="13" spans="2:11" x14ac:dyDescent="0.2">
      <c r="B13" t="s">
        <v>21</v>
      </c>
      <c r="C13">
        <v>44096.499999999985</v>
      </c>
      <c r="E13" t="s">
        <v>57</v>
      </c>
      <c r="F13">
        <v>95001.2</v>
      </c>
      <c r="G13" s="1">
        <v>40452</v>
      </c>
      <c r="H13">
        <v>88.7</v>
      </c>
      <c r="I13">
        <v>27675.424516103383</v>
      </c>
      <c r="J13">
        <v>-296.10000000000082</v>
      </c>
      <c r="K13">
        <f t="shared" si="0"/>
        <v>-1.0699022875971076</v>
      </c>
    </row>
    <row r="14" spans="2:11" x14ac:dyDescent="0.2">
      <c r="B14" t="s">
        <v>22</v>
      </c>
      <c r="C14">
        <v>45153.4</v>
      </c>
      <c r="E14" t="s">
        <v>58</v>
      </c>
      <c r="F14">
        <v>95942.200000000012</v>
      </c>
      <c r="G14" s="1">
        <v>40483</v>
      </c>
      <c r="H14">
        <v>91.3</v>
      </c>
      <c r="I14">
        <v>28559.459386581675</v>
      </c>
      <c r="J14">
        <v>-1612.7999999999979</v>
      </c>
      <c r="K14">
        <f t="shared" si="0"/>
        <v>-5.647165718962289</v>
      </c>
    </row>
    <row r="15" spans="2:11" x14ac:dyDescent="0.2">
      <c r="B15" t="s">
        <v>23</v>
      </c>
      <c r="C15">
        <v>46639.5</v>
      </c>
      <c r="E15" t="s">
        <v>59</v>
      </c>
      <c r="F15">
        <v>101835.8</v>
      </c>
      <c r="G15" s="1">
        <v>40513</v>
      </c>
      <c r="H15">
        <v>98.9</v>
      </c>
      <c r="I15">
        <v>31320.816097314964</v>
      </c>
      <c r="J15">
        <v>-2752.9621668099971</v>
      </c>
      <c r="K15">
        <f t="shared" si="0"/>
        <v>-8.7895607772685089</v>
      </c>
    </row>
    <row r="16" spans="2:11" x14ac:dyDescent="0.2">
      <c r="B16" t="s">
        <v>24</v>
      </c>
      <c r="C16">
        <v>50015.500000000007</v>
      </c>
      <c r="E16" t="s">
        <v>60</v>
      </c>
      <c r="F16">
        <v>103834.56359569238</v>
      </c>
      <c r="G16" s="1">
        <v>40544</v>
      </c>
      <c r="H16">
        <v>92.1</v>
      </c>
      <c r="I16">
        <v>29832.734552525159</v>
      </c>
      <c r="J16">
        <v>506.79581406000028</v>
      </c>
      <c r="K16">
        <f t="shared" si="0"/>
        <v>1.6987910148421281</v>
      </c>
    </row>
    <row r="17" spans="2:11" x14ac:dyDescent="0.2">
      <c r="B17" t="s">
        <v>25</v>
      </c>
      <c r="C17">
        <v>47474.200000000004</v>
      </c>
      <c r="E17" t="s">
        <v>61</v>
      </c>
      <c r="F17">
        <v>102176.59021615706</v>
      </c>
      <c r="G17" s="1">
        <v>40575</v>
      </c>
      <c r="H17">
        <v>91.3</v>
      </c>
      <c r="I17">
        <v>29891.732784512787</v>
      </c>
      <c r="J17">
        <v>-1079.3528897300009</v>
      </c>
      <c r="K17">
        <f t="shared" si="0"/>
        <v>-3.6108742758774586</v>
      </c>
    </row>
    <row r="18" spans="2:11" x14ac:dyDescent="0.2">
      <c r="B18" t="s">
        <v>26</v>
      </c>
      <c r="C18">
        <v>48760.19999999999</v>
      </c>
      <c r="E18" t="s">
        <v>62</v>
      </c>
      <c r="F18">
        <v>102217.26417945737</v>
      </c>
      <c r="G18" s="1">
        <v>40603</v>
      </c>
      <c r="H18">
        <v>97</v>
      </c>
      <c r="I18">
        <v>31736.232662962044</v>
      </c>
      <c r="J18">
        <v>254.00034619999951</v>
      </c>
      <c r="K18">
        <f t="shared" si="0"/>
        <v>0.80034813488253798</v>
      </c>
    </row>
    <row r="19" spans="2:11" x14ac:dyDescent="0.2">
      <c r="B19" t="s">
        <v>27</v>
      </c>
      <c r="C19">
        <v>52302.200000000004</v>
      </c>
      <c r="E19" t="s">
        <v>63</v>
      </c>
      <c r="F19">
        <v>108154.80230855066</v>
      </c>
      <c r="G19" s="1">
        <v>40634</v>
      </c>
      <c r="H19">
        <v>93.6</v>
      </c>
      <c r="I19">
        <v>30234.160427407511</v>
      </c>
      <c r="J19">
        <v>-96.111975810000786</v>
      </c>
      <c r="K19">
        <f t="shared" si="0"/>
        <v>-0.31789199518460748</v>
      </c>
    </row>
    <row r="20" spans="2:11" x14ac:dyDescent="0.2">
      <c r="B20" t="s">
        <v>28</v>
      </c>
      <c r="C20">
        <v>54739.499999999993</v>
      </c>
      <c r="E20" t="s">
        <v>64</v>
      </c>
      <c r="F20">
        <v>109523.71721735629</v>
      </c>
      <c r="G20" s="1">
        <v>40664</v>
      </c>
      <c r="H20">
        <v>92.2</v>
      </c>
      <c r="I20">
        <v>29691.97426393662</v>
      </c>
      <c r="J20">
        <v>-1921.9624755799989</v>
      </c>
      <c r="K20">
        <f t="shared" si="0"/>
        <v>-6.4730033055241556</v>
      </c>
    </row>
    <row r="21" spans="2:11" x14ac:dyDescent="0.2">
      <c r="B21" t="s">
        <v>29</v>
      </c>
      <c r="C21">
        <v>52652.900000000009</v>
      </c>
      <c r="E21" t="s">
        <v>65</v>
      </c>
      <c r="F21">
        <v>109403.59242883182</v>
      </c>
      <c r="G21" s="1">
        <v>40695</v>
      </c>
      <c r="H21">
        <v>91.6</v>
      </c>
      <c r="I21">
        <v>29696.965308655843</v>
      </c>
      <c r="J21">
        <v>-519.56226744000105</v>
      </c>
      <c r="K21">
        <f t="shared" si="0"/>
        <v>-1.7495466692974284</v>
      </c>
    </row>
    <row r="22" spans="2:11" x14ac:dyDescent="0.2">
      <c r="B22" t="s">
        <v>30</v>
      </c>
      <c r="C22">
        <v>52604.2</v>
      </c>
      <c r="E22" t="s">
        <v>66</v>
      </c>
      <c r="F22">
        <v>111334.24547744929</v>
      </c>
      <c r="G22" s="1">
        <v>40725</v>
      </c>
      <c r="H22">
        <v>92.7</v>
      </c>
      <c r="I22">
        <v>30543.337144754023</v>
      </c>
      <c r="J22">
        <v>-519.2017889000017</v>
      </c>
      <c r="K22">
        <f t="shared" si="0"/>
        <v>-1.6998855967812192</v>
      </c>
    </row>
    <row r="23" spans="2:11" x14ac:dyDescent="0.2">
      <c r="B23" t="s">
        <v>31</v>
      </c>
      <c r="C23">
        <v>55186.5</v>
      </c>
      <c r="E23" t="s">
        <v>67</v>
      </c>
      <c r="F23">
        <v>117064.77109646997</v>
      </c>
      <c r="G23" s="1">
        <v>40756</v>
      </c>
      <c r="H23">
        <v>92.6</v>
      </c>
      <c r="I23">
        <v>30798.377759102714</v>
      </c>
      <c r="J23">
        <v>-1272.01610764</v>
      </c>
      <c r="K23">
        <f t="shared" si="0"/>
        <v>-4.1301399625311275</v>
      </c>
    </row>
    <row r="24" spans="2:11" x14ac:dyDescent="0.2">
      <c r="B24" t="s">
        <v>32</v>
      </c>
      <c r="C24">
        <v>60101.899999999994</v>
      </c>
      <c r="E24" t="s">
        <v>68</v>
      </c>
      <c r="F24">
        <v>117897.27534206244</v>
      </c>
      <c r="G24" s="1">
        <v>40787</v>
      </c>
      <c r="H24">
        <v>92.1</v>
      </c>
      <c r="I24">
        <v>30718.585096143241</v>
      </c>
      <c r="J24">
        <v>-873.12486662000174</v>
      </c>
      <c r="K24">
        <f t="shared" si="0"/>
        <v>-2.8423342542870689</v>
      </c>
    </row>
    <row r="25" spans="2:11" x14ac:dyDescent="0.2">
      <c r="B25" t="s">
        <v>33</v>
      </c>
      <c r="C25">
        <v>56810.30000000001</v>
      </c>
      <c r="E25" t="s">
        <v>69</v>
      </c>
      <c r="F25">
        <v>116183.44201178331</v>
      </c>
      <c r="G25" s="1">
        <v>40817</v>
      </c>
      <c r="H25">
        <v>91.8</v>
      </c>
      <c r="I25">
        <v>30506.546395190009</v>
      </c>
      <c r="J25">
        <v>204.905242060001</v>
      </c>
      <c r="K25">
        <f t="shared" si="0"/>
        <v>0.67167629991806799</v>
      </c>
    </row>
    <row r="26" spans="2:11" x14ac:dyDescent="0.2">
      <c r="B26" t="s">
        <v>34</v>
      </c>
      <c r="C26">
        <v>58936.3</v>
      </c>
      <c r="E26" t="s">
        <v>70</v>
      </c>
      <c r="F26">
        <v>118716.53071091475</v>
      </c>
      <c r="G26" s="1">
        <v>40848</v>
      </c>
      <c r="H26">
        <v>95.8</v>
      </c>
      <c r="I26">
        <v>31844.76061316983</v>
      </c>
      <c r="J26">
        <v>-634.61049725999919</v>
      </c>
      <c r="K26">
        <f t="shared" si="0"/>
        <v>-1.9928254602659738</v>
      </c>
    </row>
    <row r="27" spans="2:11" x14ac:dyDescent="0.2">
      <c r="B27" t="s">
        <v>35</v>
      </c>
      <c r="C27">
        <v>62174.299999999996</v>
      </c>
      <c r="E27" t="s">
        <v>71</v>
      </c>
      <c r="F27">
        <v>123225.57323642298</v>
      </c>
      <c r="G27" s="1">
        <v>40878</v>
      </c>
      <c r="H27">
        <v>101.4</v>
      </c>
      <c r="I27">
        <v>33854.692991640157</v>
      </c>
      <c r="J27">
        <v>-4406.7427749000017</v>
      </c>
      <c r="K27">
        <f t="shared" si="0"/>
        <v>-13.016637829172376</v>
      </c>
    </row>
    <row r="28" spans="2:11" x14ac:dyDescent="0.2">
      <c r="B28" t="s">
        <v>36</v>
      </c>
      <c r="C28">
        <v>67591.7</v>
      </c>
      <c r="E28" t="s">
        <v>72</v>
      </c>
      <c r="F28">
        <v>123838.54345136041</v>
      </c>
      <c r="G28" s="1">
        <v>40909</v>
      </c>
      <c r="H28">
        <v>95</v>
      </c>
      <c r="I28">
        <v>31994.788159471911</v>
      </c>
      <c r="J28">
        <v>695.45526530000052</v>
      </c>
      <c r="K28">
        <f t="shared" si="0"/>
        <v>2.1736517267551094</v>
      </c>
    </row>
    <row r="29" spans="2:11" x14ac:dyDescent="0.2">
      <c r="B29" t="s">
        <v>37</v>
      </c>
      <c r="C29">
        <v>64074.500000000015</v>
      </c>
      <c r="E29" t="s">
        <v>73</v>
      </c>
      <c r="F29">
        <v>122799.36686189442</v>
      </c>
      <c r="G29" s="1">
        <v>40940</v>
      </c>
      <c r="H29">
        <v>95</v>
      </c>
      <c r="I29">
        <v>32090.835831540895</v>
      </c>
      <c r="J29">
        <v>-222.9759616000006</v>
      </c>
      <c r="K29">
        <f t="shared" si="0"/>
        <v>-0.69482752886369448</v>
      </c>
    </row>
    <row r="30" spans="2:11" x14ac:dyDescent="0.2">
      <c r="B30" t="s">
        <v>38</v>
      </c>
      <c r="C30">
        <v>66701.7</v>
      </c>
      <c r="E30" t="s">
        <v>74</v>
      </c>
      <c r="F30">
        <v>124518.04954369699</v>
      </c>
      <c r="G30" s="1">
        <v>40969</v>
      </c>
      <c r="H30">
        <v>101.1</v>
      </c>
      <c r="I30">
        <v>34061.176008987211</v>
      </c>
      <c r="J30">
        <v>467.05558689000048</v>
      </c>
      <c r="K30">
        <f t="shared" si="0"/>
        <v>1.3712256639840195</v>
      </c>
    </row>
    <row r="31" spans="2:11" x14ac:dyDescent="0.2">
      <c r="B31" t="s">
        <v>39</v>
      </c>
      <c r="C31">
        <v>70455.89999999998</v>
      </c>
      <c r="E31" t="s">
        <v>75</v>
      </c>
      <c r="F31">
        <v>130845.74439048856</v>
      </c>
      <c r="G31" s="1">
        <v>41000</v>
      </c>
      <c r="H31">
        <v>95.2</v>
      </c>
      <c r="I31">
        <v>31795.618764763538</v>
      </c>
      <c r="J31">
        <v>477.23739991000048</v>
      </c>
      <c r="K31">
        <f t="shared" si="0"/>
        <v>1.5009533339822383</v>
      </c>
    </row>
    <row r="32" spans="2:11" x14ac:dyDescent="0.2">
      <c r="B32" t="s">
        <v>40</v>
      </c>
      <c r="C32">
        <v>75225.800000000017</v>
      </c>
      <c r="E32" t="s">
        <v>76</v>
      </c>
      <c r="F32">
        <v>131682.7083981093</v>
      </c>
      <c r="G32" s="1">
        <v>41030</v>
      </c>
      <c r="H32">
        <v>95.6</v>
      </c>
      <c r="I32">
        <v>31821.148395598935</v>
      </c>
      <c r="J32">
        <v>-642.07394607999868</v>
      </c>
      <c r="K32">
        <f t="shared" si="0"/>
        <v>-2.0177585613748672</v>
      </c>
    </row>
    <row r="33" spans="2:11" x14ac:dyDescent="0.2">
      <c r="B33" t="s">
        <v>41</v>
      </c>
      <c r="C33">
        <v>74565.099999999991</v>
      </c>
      <c r="E33" t="s">
        <v>77</v>
      </c>
      <c r="F33">
        <v>127650.41395368072</v>
      </c>
      <c r="G33" s="1">
        <v>41061</v>
      </c>
      <c r="H33">
        <v>94.1</v>
      </c>
      <c r="I33">
        <v>31384.432839637524</v>
      </c>
      <c r="J33">
        <v>-565.51507288000084</v>
      </c>
      <c r="K33">
        <f t="shared" si="0"/>
        <v>-1.8018967421510119</v>
      </c>
    </row>
    <row r="34" spans="2:11" x14ac:dyDescent="0.2">
      <c r="B34" t="s">
        <v>42</v>
      </c>
      <c r="C34">
        <v>75672.499999999971</v>
      </c>
      <c r="E34" t="s">
        <v>78</v>
      </c>
      <c r="F34">
        <v>130291.66912749206</v>
      </c>
      <c r="G34" s="1">
        <v>41091</v>
      </c>
      <c r="H34">
        <v>95</v>
      </c>
      <c r="I34">
        <v>31915.651216940438</v>
      </c>
      <c r="J34">
        <v>-799.76722917999905</v>
      </c>
      <c r="K34">
        <f t="shared" si="0"/>
        <v>-2.5058778332415552</v>
      </c>
    </row>
    <row r="35" spans="2:11" x14ac:dyDescent="0.2">
      <c r="B35" t="s">
        <v>43</v>
      </c>
      <c r="C35">
        <v>78865.899999999994</v>
      </c>
      <c r="E35" t="s">
        <v>79</v>
      </c>
      <c r="F35">
        <v>136882.62279469674</v>
      </c>
      <c r="G35" s="1">
        <v>41122</v>
      </c>
      <c r="H35">
        <v>95.3</v>
      </c>
      <c r="I35">
        <v>32174.406472669089</v>
      </c>
      <c r="J35">
        <v>-1837.8707277500021</v>
      </c>
      <c r="K35">
        <f t="shared" si="0"/>
        <v>-5.7122133062849256</v>
      </c>
    </row>
    <row r="36" spans="2:11" x14ac:dyDescent="0.2">
      <c r="B36" t="s">
        <v>44</v>
      </c>
      <c r="C36">
        <v>78253.299999999988</v>
      </c>
      <c r="E36" t="s">
        <v>80</v>
      </c>
      <c r="F36">
        <v>136945.13452211744</v>
      </c>
      <c r="G36" s="1">
        <v>41153</v>
      </c>
      <c r="H36">
        <v>94.1</v>
      </c>
      <c r="I36">
        <v>31852.142310390482</v>
      </c>
      <c r="J36">
        <v>-1558.0594225400009</v>
      </c>
      <c r="K36">
        <f t="shared" si="0"/>
        <v>-4.8915373018151644</v>
      </c>
    </row>
    <row r="37" spans="2:11" x14ac:dyDescent="0.2">
      <c r="B37" t="s">
        <v>45</v>
      </c>
      <c r="C37">
        <v>74997.8</v>
      </c>
      <c r="E37" t="s">
        <v>81</v>
      </c>
      <c r="F37">
        <v>134587.61302566453</v>
      </c>
      <c r="G37" s="1">
        <v>41183</v>
      </c>
      <c r="H37">
        <v>96.3</v>
      </c>
      <c r="I37">
        <v>32607.756232022137</v>
      </c>
      <c r="J37">
        <v>86.585609790003218</v>
      </c>
      <c r="K37">
        <f t="shared" si="0"/>
        <v>0.26553685317658454</v>
      </c>
    </row>
    <row r="38" spans="2:11" x14ac:dyDescent="0.2">
      <c r="B38" t="s">
        <v>46</v>
      </c>
      <c r="C38">
        <v>76667.599999999991</v>
      </c>
      <c r="E38" t="s">
        <v>82</v>
      </c>
      <c r="F38">
        <v>136449.39692226614</v>
      </c>
      <c r="G38" s="1">
        <v>41214</v>
      </c>
      <c r="H38">
        <v>98.9</v>
      </c>
      <c r="I38">
        <v>33608.328976749566</v>
      </c>
      <c r="J38">
        <v>-2842.1987995300001</v>
      </c>
      <c r="K38">
        <f t="shared" si="0"/>
        <v>-8.456828667370667</v>
      </c>
    </row>
    <row r="39" spans="2:11" x14ac:dyDescent="0.2">
      <c r="B39" t="s">
        <v>47</v>
      </c>
      <c r="C39">
        <v>80066.89999999998</v>
      </c>
      <c r="E39" t="s">
        <v>83</v>
      </c>
      <c r="F39">
        <v>143385.93766453207</v>
      </c>
      <c r="G39" s="1">
        <v>41244</v>
      </c>
      <c r="H39">
        <v>104.1</v>
      </c>
      <c r="I39">
        <v>35619.714791228311</v>
      </c>
      <c r="J39">
        <v>-2703.619227499993</v>
      </c>
      <c r="K39">
        <f t="shared" si="0"/>
        <v>-7.5902326656635237</v>
      </c>
    </row>
    <row r="40" spans="2:11" x14ac:dyDescent="0.2">
      <c r="B40" t="s">
        <v>48</v>
      </c>
      <c r="C40">
        <v>83764.10000000002</v>
      </c>
      <c r="E40" t="s">
        <v>84</v>
      </c>
      <c r="F40">
        <v>144940.7131675338</v>
      </c>
      <c r="G40" s="1">
        <v>41275</v>
      </c>
      <c r="H40">
        <v>99.1</v>
      </c>
      <c r="I40">
        <v>34259.490030067187</v>
      </c>
      <c r="J40">
        <v>1421.8437507399999</v>
      </c>
      <c r="K40">
        <f t="shared" si="0"/>
        <v>4.1502186678556683</v>
      </c>
    </row>
    <row r="41" spans="2:11" x14ac:dyDescent="0.2">
      <c r="B41" t="s">
        <v>49</v>
      </c>
      <c r="C41">
        <v>80946.299999999988</v>
      </c>
      <c r="E41" t="s">
        <v>85</v>
      </c>
      <c r="F41">
        <v>145359.22764039328</v>
      </c>
      <c r="G41" s="1">
        <v>41306</v>
      </c>
      <c r="H41">
        <v>98.8</v>
      </c>
      <c r="I41">
        <v>34307.480524136343</v>
      </c>
      <c r="J41">
        <v>-855.94026315000019</v>
      </c>
      <c r="K41">
        <f t="shared" si="0"/>
        <v>-2.4949085449391148</v>
      </c>
    </row>
    <row r="42" spans="2:11" x14ac:dyDescent="0.2">
      <c r="B42" t="s">
        <v>50</v>
      </c>
      <c r="C42">
        <v>82168.100000000006</v>
      </c>
      <c r="E42" t="s">
        <v>86</v>
      </c>
      <c r="F42">
        <v>147623.62043435193</v>
      </c>
      <c r="G42" s="1">
        <v>41334</v>
      </c>
      <c r="H42">
        <v>101.7</v>
      </c>
      <c r="I42">
        <v>35267.593041488872</v>
      </c>
      <c r="J42">
        <v>36.677096420000453</v>
      </c>
      <c r="K42">
        <f t="shared" si="0"/>
        <v>0.10399659646989075</v>
      </c>
    </row>
    <row r="43" spans="2:11" x14ac:dyDescent="0.2">
      <c r="B43" t="s">
        <v>51</v>
      </c>
      <c r="C43">
        <v>87555.7</v>
      </c>
      <c r="E43" t="s">
        <v>87</v>
      </c>
      <c r="F43">
        <v>156048.45863451902</v>
      </c>
      <c r="G43" s="1">
        <v>41365</v>
      </c>
      <c r="H43">
        <v>101.2</v>
      </c>
      <c r="I43">
        <v>34839.568970019172</v>
      </c>
      <c r="J43">
        <v>-325.16115930999882</v>
      </c>
      <c r="K43">
        <f t="shared" si="0"/>
        <v>-0.93330993730092593</v>
      </c>
    </row>
    <row r="44" spans="2:11" x14ac:dyDescent="0.2">
      <c r="B44" t="s">
        <v>52</v>
      </c>
      <c r="C44">
        <v>91460.7</v>
      </c>
      <c r="E44" t="s">
        <v>88</v>
      </c>
      <c r="F44">
        <v>151214.19662400029</v>
      </c>
      <c r="G44" s="1">
        <v>41395</v>
      </c>
      <c r="H44">
        <v>99.5</v>
      </c>
      <c r="I44">
        <v>34139.707432323616</v>
      </c>
      <c r="J44">
        <v>-899.52974142000039</v>
      </c>
      <c r="K44">
        <f t="shared" si="0"/>
        <v>-2.6348490045006128</v>
      </c>
    </row>
    <row r="45" spans="2:11" x14ac:dyDescent="0.2">
      <c r="B45" t="s">
        <v>53</v>
      </c>
      <c r="C45">
        <v>89623.099999999991</v>
      </c>
      <c r="E45" t="s">
        <v>89</v>
      </c>
      <c r="F45">
        <v>136507.74495000808</v>
      </c>
      <c r="G45" s="1">
        <v>41426</v>
      </c>
      <c r="H45">
        <v>96.7</v>
      </c>
      <c r="I45">
        <v>33197.313813814246</v>
      </c>
      <c r="J45">
        <v>-1468.2788148</v>
      </c>
      <c r="K45">
        <f t="shared" si="0"/>
        <v>-4.4228844027404772</v>
      </c>
    </row>
    <row r="46" spans="2:11" x14ac:dyDescent="0.2">
      <c r="B46" t="s">
        <v>54</v>
      </c>
      <c r="C46">
        <v>92060.3</v>
      </c>
      <c r="E46" t="s">
        <v>90</v>
      </c>
      <c r="F46">
        <v>150128.76262956575</v>
      </c>
      <c r="G46" s="1">
        <v>41456</v>
      </c>
      <c r="H46">
        <v>98.6</v>
      </c>
      <c r="I46">
        <v>33996.804706195107</v>
      </c>
      <c r="J46">
        <v>-623.05906890999995</v>
      </c>
      <c r="K46">
        <f t="shared" si="0"/>
        <v>-1.8326989088961712</v>
      </c>
    </row>
    <row r="47" spans="2:11" x14ac:dyDescent="0.2">
      <c r="B47" t="s">
        <v>55</v>
      </c>
      <c r="C47">
        <v>96205.999999999985</v>
      </c>
      <c r="E47" t="s">
        <v>91</v>
      </c>
      <c r="F47">
        <v>162271.79671892826</v>
      </c>
      <c r="G47" s="1">
        <v>41487</v>
      </c>
      <c r="H47">
        <v>98.7</v>
      </c>
      <c r="I47">
        <v>34194.66150628723</v>
      </c>
      <c r="J47">
        <v>-816.93936977000112</v>
      </c>
      <c r="K47">
        <f t="shared" si="0"/>
        <v>-2.3890845347885485</v>
      </c>
    </row>
    <row r="48" spans="2:11" x14ac:dyDescent="0.2">
      <c r="B48" t="s">
        <v>56</v>
      </c>
      <c r="C48">
        <v>98146.8</v>
      </c>
      <c r="E48" t="s">
        <v>92</v>
      </c>
      <c r="F48">
        <v>162670.38087375619</v>
      </c>
      <c r="G48" s="1">
        <v>41518</v>
      </c>
      <c r="H48">
        <v>97.7</v>
      </c>
      <c r="I48">
        <v>34025.797966975035</v>
      </c>
      <c r="J48">
        <v>-830.35248902999956</v>
      </c>
      <c r="K48">
        <f t="shared" si="0"/>
        <v>-2.440361545189706</v>
      </c>
    </row>
    <row r="49" spans="2:11" x14ac:dyDescent="0.2">
      <c r="B49" t="s">
        <v>57</v>
      </c>
      <c r="C49">
        <v>95001.2</v>
      </c>
      <c r="E49" t="s">
        <v>93</v>
      </c>
      <c r="F49">
        <v>161775.47117676664</v>
      </c>
      <c r="G49" s="1">
        <v>41548</v>
      </c>
      <c r="H49">
        <v>99.5</v>
      </c>
      <c r="I49">
        <v>34849.532912669703</v>
      </c>
      <c r="J49">
        <v>979.72614456000156</v>
      </c>
      <c r="K49">
        <f t="shared" si="0"/>
        <v>2.8113035173674241</v>
      </c>
    </row>
    <row r="50" spans="2:11" x14ac:dyDescent="0.2">
      <c r="B50" t="s">
        <v>58</v>
      </c>
      <c r="C50">
        <v>95942.200000000012</v>
      </c>
      <c r="E50" t="s">
        <v>94</v>
      </c>
      <c r="F50">
        <v>167039.88201723091</v>
      </c>
      <c r="G50" s="1">
        <v>41579</v>
      </c>
      <c r="H50">
        <v>102.2</v>
      </c>
      <c r="I50">
        <v>35914.486176312777</v>
      </c>
      <c r="J50">
        <v>-1989.346104969999</v>
      </c>
      <c r="K50">
        <f t="shared" si="0"/>
        <v>-5.5391189371437051</v>
      </c>
    </row>
    <row r="51" spans="2:11" x14ac:dyDescent="0.2">
      <c r="B51" t="s">
        <v>59</v>
      </c>
      <c r="C51">
        <v>101835.8</v>
      </c>
      <c r="E51" t="s">
        <v>95</v>
      </c>
      <c r="F51">
        <v>177194.80003180829</v>
      </c>
      <c r="G51" s="1">
        <v>41609</v>
      </c>
      <c r="H51">
        <v>106.3</v>
      </c>
      <c r="I51">
        <v>37390.783219568155</v>
      </c>
      <c r="J51">
        <v>-3639.4267796200029</v>
      </c>
      <c r="K51">
        <f t="shared" si="0"/>
        <v>-9.7334863467511941</v>
      </c>
    </row>
    <row r="52" spans="2:11" x14ac:dyDescent="0.2">
      <c r="B52" t="s">
        <v>60</v>
      </c>
      <c r="C52">
        <v>103834.56359569238</v>
      </c>
      <c r="E52" t="s">
        <v>96</v>
      </c>
      <c r="F52">
        <v>179250.94183909227</v>
      </c>
      <c r="G52" s="1">
        <v>41640</v>
      </c>
      <c r="H52">
        <v>102.7</v>
      </c>
      <c r="I52">
        <v>36069.784007339811</v>
      </c>
      <c r="J52">
        <v>1508.5600607199999</v>
      </c>
      <c r="K52">
        <f t="shared" si="0"/>
        <v>4.1823373835923832</v>
      </c>
    </row>
    <row r="53" spans="2:11" x14ac:dyDescent="0.2">
      <c r="B53" t="s">
        <v>61</v>
      </c>
      <c r="C53">
        <v>102176.59021615706</v>
      </c>
      <c r="E53" t="s">
        <v>97</v>
      </c>
      <c r="F53">
        <v>179675.77074666505</v>
      </c>
      <c r="G53" s="1">
        <v>41671</v>
      </c>
      <c r="H53">
        <v>102.6</v>
      </c>
      <c r="I53">
        <v>35998.918116846195</v>
      </c>
      <c r="J53">
        <v>-391.04472192000048</v>
      </c>
      <c r="K53">
        <f t="shared" si="0"/>
        <v>-1.0862679835286653</v>
      </c>
    </row>
    <row r="54" spans="2:11" x14ac:dyDescent="0.2">
      <c r="B54" t="s">
        <v>62</v>
      </c>
      <c r="C54">
        <v>102217.26417945737</v>
      </c>
      <c r="E54" t="s">
        <v>98</v>
      </c>
      <c r="F54">
        <v>185671.3472857475</v>
      </c>
      <c r="G54" s="1">
        <v>41699</v>
      </c>
      <c r="H54">
        <v>106.8</v>
      </c>
      <c r="I54">
        <v>37455.015093170317</v>
      </c>
      <c r="J54">
        <v>-392.52332337000013</v>
      </c>
      <c r="K54">
        <f t="shared" si="0"/>
        <v>-1.047986023750326</v>
      </c>
    </row>
    <row r="55" spans="2:11" x14ac:dyDescent="0.2">
      <c r="B55" t="s">
        <v>63</v>
      </c>
      <c r="C55">
        <v>108154.80230855066</v>
      </c>
      <c r="E55" t="s">
        <v>99</v>
      </c>
      <c r="F55">
        <v>196455.16326646291</v>
      </c>
      <c r="G55" s="1">
        <v>41730</v>
      </c>
      <c r="H55">
        <v>104.8</v>
      </c>
      <c r="I55">
        <v>36756.482209568385</v>
      </c>
      <c r="J55">
        <v>-238.09665865999889</v>
      </c>
      <c r="K55">
        <f t="shared" si="0"/>
        <v>-0.64776780678434454</v>
      </c>
    </row>
    <row r="56" spans="2:11" x14ac:dyDescent="0.2">
      <c r="B56" t="s">
        <v>64</v>
      </c>
      <c r="C56">
        <v>109523.71721735629</v>
      </c>
      <c r="E56" t="s">
        <v>100</v>
      </c>
      <c r="F56">
        <v>200604.59775803454</v>
      </c>
      <c r="G56" s="1">
        <v>41760</v>
      </c>
      <c r="H56">
        <v>104.4</v>
      </c>
      <c r="I56">
        <v>36772.648284821888</v>
      </c>
      <c r="J56">
        <v>-1460.59591116</v>
      </c>
      <c r="K56">
        <f t="shared" si="0"/>
        <v>-3.9719628019363213</v>
      </c>
    </row>
    <row r="57" spans="2:11" x14ac:dyDescent="0.2">
      <c r="B57" t="s">
        <v>65</v>
      </c>
      <c r="C57">
        <v>109403.59242883182</v>
      </c>
      <c r="E57" t="s">
        <v>101</v>
      </c>
      <c r="F57">
        <v>200381.2866649653</v>
      </c>
      <c r="G57" s="1">
        <v>41791</v>
      </c>
      <c r="H57">
        <v>101</v>
      </c>
      <c r="I57">
        <v>35874.461934441541</v>
      </c>
      <c r="J57">
        <v>-1464.4173707399989</v>
      </c>
      <c r="K57">
        <f t="shared" si="0"/>
        <v>-4.0820608638427389</v>
      </c>
    </row>
    <row r="58" spans="2:11" x14ac:dyDescent="0.2">
      <c r="B58" t="s">
        <v>66</v>
      </c>
      <c r="C58">
        <v>111334.24547744929</v>
      </c>
      <c r="E58" t="s">
        <v>102</v>
      </c>
      <c r="F58">
        <v>203473.88542700044</v>
      </c>
      <c r="G58" s="1">
        <v>41821</v>
      </c>
      <c r="H58">
        <v>103.8</v>
      </c>
      <c r="I58">
        <v>37323.868687845075</v>
      </c>
      <c r="J58">
        <v>-140.8869471300022</v>
      </c>
      <c r="K58">
        <f t="shared" si="0"/>
        <v>-0.37747144677926586</v>
      </c>
    </row>
    <row r="59" spans="2:11" x14ac:dyDescent="0.2">
      <c r="B59" t="s">
        <v>67</v>
      </c>
      <c r="C59">
        <v>117064.77109646997</v>
      </c>
      <c r="E59" t="s">
        <v>103</v>
      </c>
      <c r="F59">
        <v>212953.65147785094</v>
      </c>
      <c r="G59" s="1">
        <v>41852</v>
      </c>
      <c r="H59">
        <v>102.2</v>
      </c>
      <c r="I59">
        <v>37024.502073116128</v>
      </c>
      <c r="J59">
        <v>-1631.8603525699989</v>
      </c>
      <c r="K59">
        <f t="shared" si="0"/>
        <v>-4.4075146489408414</v>
      </c>
    </row>
    <row r="60" spans="2:11" x14ac:dyDescent="0.2">
      <c r="B60" t="s">
        <v>68</v>
      </c>
      <c r="C60">
        <v>117897.27534206244</v>
      </c>
      <c r="E60" t="s">
        <v>104</v>
      </c>
      <c r="F60">
        <v>214033.10404445798</v>
      </c>
      <c r="G60" s="1">
        <v>41883</v>
      </c>
      <c r="H60">
        <v>101.8</v>
      </c>
      <c r="I60">
        <v>36985.874716488099</v>
      </c>
      <c r="J60">
        <v>-627.35522923000144</v>
      </c>
      <c r="K60">
        <f t="shared" si="0"/>
        <v>-1.6962022232512726</v>
      </c>
    </row>
    <row r="61" spans="2:11" x14ac:dyDescent="0.2">
      <c r="B61" t="s">
        <v>69</v>
      </c>
      <c r="C61">
        <v>116183.44201178331</v>
      </c>
      <c r="E61" t="s">
        <v>105</v>
      </c>
      <c r="F61">
        <v>213508.29636912627</v>
      </c>
      <c r="G61" s="1">
        <v>41913</v>
      </c>
      <c r="H61">
        <v>103.9</v>
      </c>
      <c r="I61">
        <v>37685.924937212862</v>
      </c>
      <c r="J61">
        <v>1704.94352938</v>
      </c>
      <c r="K61">
        <f t="shared" si="0"/>
        <v>4.5240856691736875</v>
      </c>
    </row>
    <row r="62" spans="2:11" x14ac:dyDescent="0.2">
      <c r="B62" t="s">
        <v>70</v>
      </c>
      <c r="C62">
        <v>118716.53071091475</v>
      </c>
      <c r="E62" t="s">
        <v>106</v>
      </c>
      <c r="F62">
        <v>219181.96223900261</v>
      </c>
      <c r="G62" s="1">
        <v>41944</v>
      </c>
      <c r="H62">
        <v>107.1</v>
      </c>
      <c r="I62">
        <v>38781.843990782618</v>
      </c>
      <c r="J62">
        <v>-1490.504846719999</v>
      </c>
      <c r="K62">
        <f t="shared" si="0"/>
        <v>-3.8433057671890261</v>
      </c>
    </row>
    <row r="63" spans="2:11" x14ac:dyDescent="0.2">
      <c r="B63" t="s">
        <v>71</v>
      </c>
      <c r="C63">
        <v>123225.57323642298</v>
      </c>
      <c r="E63" t="s">
        <v>107</v>
      </c>
      <c r="F63">
        <v>231539.93817577083</v>
      </c>
      <c r="G63" s="1">
        <v>41974</v>
      </c>
      <c r="H63">
        <v>112.3</v>
      </c>
      <c r="I63">
        <v>40597.002168474486</v>
      </c>
      <c r="J63">
        <v>-3970.618347609995</v>
      </c>
      <c r="K63">
        <f t="shared" si="0"/>
        <v>-9.7805703266764112</v>
      </c>
    </row>
    <row r="64" spans="2:11" x14ac:dyDescent="0.2">
      <c r="B64" t="s">
        <v>72</v>
      </c>
      <c r="C64">
        <v>123838.54345136041</v>
      </c>
      <c r="E64" t="s">
        <v>108</v>
      </c>
      <c r="F64">
        <v>231004.36371570244</v>
      </c>
      <c r="G64" s="1">
        <v>42005</v>
      </c>
      <c r="H64">
        <v>107.8</v>
      </c>
      <c r="I64">
        <v>38905.241855889457</v>
      </c>
      <c r="J64">
        <v>1078.926645269999</v>
      </c>
      <c r="K64">
        <f t="shared" si="0"/>
        <v>2.773216651027377</v>
      </c>
    </row>
    <row r="65" spans="2:11" x14ac:dyDescent="0.2">
      <c r="B65" t="s">
        <v>73</v>
      </c>
      <c r="C65">
        <v>122799.36686189442</v>
      </c>
      <c r="E65" t="s">
        <v>109</v>
      </c>
      <c r="F65">
        <v>231094.42512312494</v>
      </c>
      <c r="G65" s="1">
        <v>42036</v>
      </c>
      <c r="H65">
        <v>107.2</v>
      </c>
      <c r="I65">
        <v>38670.159582326298</v>
      </c>
      <c r="J65">
        <v>-1239.4020923200001</v>
      </c>
      <c r="K65">
        <f t="shared" si="0"/>
        <v>-3.2050607127218917</v>
      </c>
    </row>
    <row r="66" spans="2:11" x14ac:dyDescent="0.2">
      <c r="B66" t="s">
        <v>74</v>
      </c>
      <c r="C66">
        <v>124518.04954369699</v>
      </c>
      <c r="E66" t="s">
        <v>110</v>
      </c>
      <c r="F66">
        <v>234696.03412158843</v>
      </c>
      <c r="G66" s="1">
        <v>42064</v>
      </c>
      <c r="H66">
        <v>111.7</v>
      </c>
      <c r="I66">
        <v>40321.873903846717</v>
      </c>
      <c r="J66">
        <v>-1200.343411209999</v>
      </c>
      <c r="K66">
        <f t="shared" si="0"/>
        <v>-2.9769038365438814</v>
      </c>
    </row>
    <row r="67" spans="2:11" x14ac:dyDescent="0.2">
      <c r="B67" t="s">
        <v>75</v>
      </c>
      <c r="C67">
        <v>130845.74439048856</v>
      </c>
      <c r="G67" s="1">
        <v>42095</v>
      </c>
      <c r="H67">
        <v>107.7</v>
      </c>
      <c r="I67">
        <v>38953.329904233251</v>
      </c>
      <c r="J67">
        <v>-168.81435751999919</v>
      </c>
      <c r="K67">
        <f t="shared" si="0"/>
        <v>-0.43337593457357626</v>
      </c>
    </row>
    <row r="68" spans="2:11" x14ac:dyDescent="0.2">
      <c r="B68" t="s">
        <v>76</v>
      </c>
      <c r="C68">
        <v>131682.7083981093</v>
      </c>
      <c r="G68" s="1">
        <v>42125</v>
      </c>
      <c r="H68">
        <v>106.7</v>
      </c>
      <c r="I68">
        <v>38722.434428606168</v>
      </c>
      <c r="J68">
        <v>-1266.01513118</v>
      </c>
      <c r="K68">
        <f t="shared" si="0"/>
        <v>-3.2694616179522336</v>
      </c>
    </row>
    <row r="69" spans="2:11" x14ac:dyDescent="0.2">
      <c r="B69" t="s">
        <v>77</v>
      </c>
      <c r="C69">
        <v>127650.41395368072</v>
      </c>
      <c r="G69" s="1">
        <v>42156</v>
      </c>
      <c r="H69">
        <v>105.6</v>
      </c>
      <c r="I69">
        <v>38507.677678943903</v>
      </c>
      <c r="J69">
        <v>-883.74873916000024</v>
      </c>
      <c r="K69">
        <f t="shared" ref="K69:K132" si="1">J69/I69*100</f>
        <v>-2.2949936023881188</v>
      </c>
    </row>
    <row r="70" spans="2:11" x14ac:dyDescent="0.2">
      <c r="B70" t="s">
        <v>78</v>
      </c>
      <c r="C70">
        <v>130291.66912749206</v>
      </c>
      <c r="G70" s="1">
        <v>42186</v>
      </c>
      <c r="H70">
        <v>108.7</v>
      </c>
      <c r="I70">
        <v>39884.004295085237</v>
      </c>
      <c r="J70">
        <v>434.88698989000022</v>
      </c>
      <c r="K70">
        <f t="shared" si="1"/>
        <v>1.0903794580715904</v>
      </c>
    </row>
    <row r="71" spans="2:11" x14ac:dyDescent="0.2">
      <c r="B71" t="s">
        <v>79</v>
      </c>
      <c r="C71">
        <v>136882.62279469674</v>
      </c>
      <c r="G71" s="1">
        <v>42217</v>
      </c>
      <c r="H71">
        <v>107.5</v>
      </c>
      <c r="I71">
        <v>39564.043827229209</v>
      </c>
      <c r="J71">
        <v>-1332.833409919999</v>
      </c>
      <c r="K71">
        <f t="shared" si="1"/>
        <v>-3.3687997509564518</v>
      </c>
    </row>
    <row r="72" spans="2:11" x14ac:dyDescent="0.2">
      <c r="B72" t="s">
        <v>80</v>
      </c>
      <c r="C72">
        <v>136945.13452211744</v>
      </c>
      <c r="G72" s="1">
        <v>42248</v>
      </c>
      <c r="H72">
        <v>106.7</v>
      </c>
      <c r="I72">
        <v>39268.482588600309</v>
      </c>
      <c r="J72">
        <v>-640.82978657999729</v>
      </c>
      <c r="K72">
        <f t="shared" si="1"/>
        <v>-1.6319188935658824</v>
      </c>
    </row>
    <row r="73" spans="2:11" x14ac:dyDescent="0.2">
      <c r="B73" t="s">
        <v>81</v>
      </c>
      <c r="C73">
        <v>134587.61302566453</v>
      </c>
      <c r="G73" s="1">
        <v>42278</v>
      </c>
      <c r="H73">
        <v>108.5</v>
      </c>
      <c r="I73">
        <v>39808.082435126453</v>
      </c>
      <c r="J73">
        <v>889.80518852999739</v>
      </c>
      <c r="K73">
        <f t="shared" si="1"/>
        <v>2.2352375047958546</v>
      </c>
    </row>
    <row r="74" spans="2:11" x14ac:dyDescent="0.2">
      <c r="B74" t="s">
        <v>82</v>
      </c>
      <c r="C74">
        <v>136449.39692226614</v>
      </c>
      <c r="G74" s="1">
        <v>42309</v>
      </c>
      <c r="H74">
        <v>111.4</v>
      </c>
      <c r="I74">
        <v>40907.238514205841</v>
      </c>
      <c r="J74">
        <v>-347.29572068000061</v>
      </c>
      <c r="K74">
        <f t="shared" si="1"/>
        <v>-0.84898353761864265</v>
      </c>
    </row>
    <row r="75" spans="2:11" x14ac:dyDescent="0.2">
      <c r="B75" t="s">
        <v>83</v>
      </c>
      <c r="C75">
        <v>143385.93766453207</v>
      </c>
      <c r="G75" s="1">
        <v>42339</v>
      </c>
      <c r="H75">
        <v>115.2</v>
      </c>
      <c r="I75">
        <v>42510.252287090712</v>
      </c>
      <c r="J75">
        <v>-2331.8294214599991</v>
      </c>
      <c r="K75">
        <f t="shared" si="1"/>
        <v>-5.4853342335211606</v>
      </c>
    </row>
    <row r="76" spans="2:11" x14ac:dyDescent="0.2">
      <c r="B76" t="s">
        <v>84</v>
      </c>
      <c r="C76">
        <v>144940.7131675338</v>
      </c>
      <c r="G76" s="1">
        <v>42370</v>
      </c>
      <c r="H76">
        <v>109.7</v>
      </c>
      <c r="I76">
        <v>40847.025289757199</v>
      </c>
      <c r="J76">
        <v>1405.0130077199999</v>
      </c>
      <c r="K76">
        <f t="shared" si="1"/>
        <v>3.4396948070348738</v>
      </c>
    </row>
    <row r="77" spans="2:11" x14ac:dyDescent="0.2">
      <c r="B77" t="s">
        <v>85</v>
      </c>
      <c r="C77">
        <v>145359.22764039328</v>
      </c>
      <c r="G77" s="1">
        <v>42401</v>
      </c>
      <c r="H77">
        <v>109.4</v>
      </c>
      <c r="I77">
        <v>40871.246456503526</v>
      </c>
      <c r="J77">
        <v>-819.53746464000187</v>
      </c>
      <c r="K77">
        <f t="shared" si="1"/>
        <v>-2.005168757239101</v>
      </c>
    </row>
    <row r="78" spans="2:11" x14ac:dyDescent="0.2">
      <c r="B78" t="s">
        <v>86</v>
      </c>
      <c r="C78">
        <v>147623.62043435193</v>
      </c>
      <c r="G78" s="1">
        <v>42430</v>
      </c>
      <c r="H78">
        <v>113</v>
      </c>
      <c r="I78">
        <v>42120.271705099694</v>
      </c>
      <c r="J78">
        <v>-312.83977457000037</v>
      </c>
      <c r="K78">
        <f t="shared" si="1"/>
        <v>-0.74272971637104468</v>
      </c>
    </row>
    <row r="79" spans="2:11" x14ac:dyDescent="0.2">
      <c r="B79" t="s">
        <v>87</v>
      </c>
      <c r="C79">
        <v>156048.45863451902</v>
      </c>
      <c r="G79" s="1">
        <v>42461</v>
      </c>
      <c r="H79">
        <v>112.3</v>
      </c>
      <c r="I79">
        <v>41521.449396221455</v>
      </c>
      <c r="J79">
        <v>1105.685932640004</v>
      </c>
      <c r="K79">
        <f t="shared" si="1"/>
        <v>2.6629271104891243</v>
      </c>
    </row>
    <row r="80" spans="2:11" x14ac:dyDescent="0.2">
      <c r="B80" t="s">
        <v>88</v>
      </c>
      <c r="C80">
        <v>151214.19662400029</v>
      </c>
      <c r="G80" s="1">
        <v>42491</v>
      </c>
      <c r="H80">
        <v>111.1</v>
      </c>
      <c r="I80">
        <v>41026.189783096073</v>
      </c>
      <c r="J80">
        <v>88.851303349994851</v>
      </c>
      <c r="K80">
        <f t="shared" si="1"/>
        <v>0.21657215505448682</v>
      </c>
    </row>
    <row r="81" spans="2:11" x14ac:dyDescent="0.2">
      <c r="B81" t="s">
        <v>89</v>
      </c>
      <c r="C81">
        <v>136507.74495000808</v>
      </c>
      <c r="G81" s="1">
        <v>42522</v>
      </c>
      <c r="H81">
        <v>108.4</v>
      </c>
      <c r="I81">
        <v>40251.7276825769</v>
      </c>
      <c r="J81">
        <v>-950.78726872999687</v>
      </c>
      <c r="K81">
        <f t="shared" si="1"/>
        <v>-2.3621030039452156</v>
      </c>
    </row>
    <row r="82" spans="2:11" x14ac:dyDescent="0.2">
      <c r="B82" t="s">
        <v>90</v>
      </c>
      <c r="C82">
        <v>150128.76262956575</v>
      </c>
      <c r="G82" s="1">
        <v>42552</v>
      </c>
      <c r="H82">
        <v>109.3</v>
      </c>
      <c r="I82">
        <v>41078.817579156632</v>
      </c>
      <c r="J82">
        <v>302.70343468000277</v>
      </c>
      <c r="K82">
        <f t="shared" si="1"/>
        <v>0.73688448820784536</v>
      </c>
    </row>
    <row r="83" spans="2:11" x14ac:dyDescent="0.2">
      <c r="B83" t="s">
        <v>91</v>
      </c>
      <c r="C83">
        <v>162271.79671892826</v>
      </c>
      <c r="G83" s="1">
        <v>42583</v>
      </c>
      <c r="H83">
        <v>110.4</v>
      </c>
      <c r="I83">
        <v>41787.800407371047</v>
      </c>
      <c r="J83">
        <v>-843.21200990999932</v>
      </c>
      <c r="K83">
        <f t="shared" si="1"/>
        <v>-2.0178425322459979</v>
      </c>
    </row>
    <row r="84" spans="2:11" x14ac:dyDescent="0.2">
      <c r="B84" t="s">
        <v>92</v>
      </c>
      <c r="C84">
        <v>162670.38087375619</v>
      </c>
      <c r="G84" s="1">
        <v>42614</v>
      </c>
      <c r="H84">
        <v>109.8</v>
      </c>
      <c r="I84">
        <v>41651.431557169344</v>
      </c>
      <c r="J84">
        <v>-1151.674678639996</v>
      </c>
      <c r="K84">
        <f t="shared" si="1"/>
        <v>-2.7650302416598729</v>
      </c>
    </row>
    <row r="85" spans="2:11" x14ac:dyDescent="0.2">
      <c r="B85" t="s">
        <v>93</v>
      </c>
      <c r="C85">
        <v>161775.47117676664</v>
      </c>
      <c r="G85" s="1">
        <v>42644</v>
      </c>
      <c r="H85">
        <v>110.4</v>
      </c>
      <c r="I85">
        <v>41767.050890874409</v>
      </c>
      <c r="J85">
        <v>458.61801338000811</v>
      </c>
      <c r="K85">
        <f t="shared" si="1"/>
        <v>1.0980378159287529</v>
      </c>
    </row>
    <row r="86" spans="2:11" x14ac:dyDescent="0.2">
      <c r="B86" t="s">
        <v>94</v>
      </c>
      <c r="C86">
        <v>167039.88201723091</v>
      </c>
      <c r="G86" s="1">
        <v>42675</v>
      </c>
      <c r="H86">
        <v>115</v>
      </c>
      <c r="I86">
        <v>43463.895655431559</v>
      </c>
      <c r="J86">
        <v>-1561.709965920003</v>
      </c>
      <c r="K86">
        <f t="shared" si="1"/>
        <v>-3.5931200882239382</v>
      </c>
    </row>
    <row r="87" spans="2:11" x14ac:dyDescent="0.2">
      <c r="B87" t="s">
        <v>95</v>
      </c>
      <c r="C87">
        <v>177194.80003180829</v>
      </c>
      <c r="G87" s="1">
        <v>42705</v>
      </c>
      <c r="H87">
        <v>120.6</v>
      </c>
      <c r="I87">
        <v>45614.797844182569</v>
      </c>
      <c r="J87">
        <v>-3293.7760013500078</v>
      </c>
      <c r="K87">
        <f t="shared" si="1"/>
        <v>-7.22084971767572</v>
      </c>
    </row>
    <row r="88" spans="2:11" x14ac:dyDescent="0.2">
      <c r="B88" t="s">
        <v>96</v>
      </c>
      <c r="C88">
        <v>179250.94183909227</v>
      </c>
      <c r="G88" s="1">
        <v>42736</v>
      </c>
      <c r="H88">
        <v>115.4</v>
      </c>
      <c r="I88">
        <v>43761.149238993457</v>
      </c>
      <c r="J88">
        <v>1258.962081910001</v>
      </c>
      <c r="K88">
        <f t="shared" si="1"/>
        <v>2.8768944687316398</v>
      </c>
    </row>
    <row r="89" spans="2:11" x14ac:dyDescent="0.2">
      <c r="B89" t="s">
        <v>97</v>
      </c>
      <c r="C89">
        <v>179675.77074666505</v>
      </c>
      <c r="G89" s="1">
        <v>42767</v>
      </c>
      <c r="H89">
        <v>114.3</v>
      </c>
      <c r="I89">
        <v>43321.33065417099</v>
      </c>
      <c r="J89">
        <v>-559.72116447999997</v>
      </c>
      <c r="K89">
        <f t="shared" si="1"/>
        <v>-1.2920220963390694</v>
      </c>
    </row>
    <row r="90" spans="2:11" x14ac:dyDescent="0.2">
      <c r="B90" t="s">
        <v>98</v>
      </c>
      <c r="C90">
        <v>185671.3472857475</v>
      </c>
      <c r="G90" s="1">
        <v>42795</v>
      </c>
      <c r="H90">
        <v>118.1</v>
      </c>
      <c r="I90">
        <v>44600.228504944869</v>
      </c>
      <c r="J90">
        <v>420.31356573999977</v>
      </c>
      <c r="K90">
        <f t="shared" si="1"/>
        <v>0.94240226974038754</v>
      </c>
    </row>
    <row r="91" spans="2:11" x14ac:dyDescent="0.2">
      <c r="B91" t="s">
        <v>99</v>
      </c>
      <c r="C91">
        <v>196455.16326646291</v>
      </c>
      <c r="G91" s="1">
        <v>42826</v>
      </c>
      <c r="H91">
        <v>114.7</v>
      </c>
      <c r="I91">
        <v>43021.114001070651</v>
      </c>
      <c r="J91">
        <v>550.70901558999958</v>
      </c>
      <c r="K91">
        <f t="shared" si="1"/>
        <v>1.2800900868729115</v>
      </c>
    </row>
    <row r="92" spans="2:11" x14ac:dyDescent="0.2">
      <c r="B92" t="s">
        <v>100</v>
      </c>
      <c r="C92">
        <v>200604.59775803454</v>
      </c>
      <c r="G92" s="1">
        <v>42856</v>
      </c>
      <c r="H92">
        <v>113.7</v>
      </c>
      <c r="I92">
        <v>42605.451821585841</v>
      </c>
      <c r="J92">
        <v>-1226.1530537000001</v>
      </c>
      <c r="K92">
        <f t="shared" si="1"/>
        <v>-2.8779252449536887</v>
      </c>
    </row>
    <row r="93" spans="2:11" x14ac:dyDescent="0.2">
      <c r="B93" t="s">
        <v>101</v>
      </c>
      <c r="C93">
        <v>200381.2866649653</v>
      </c>
      <c r="G93" s="1">
        <v>42887</v>
      </c>
      <c r="H93">
        <v>111.6</v>
      </c>
      <c r="I93">
        <v>42023.848131024206</v>
      </c>
      <c r="J93">
        <v>28.146288049999381</v>
      </c>
      <c r="K93">
        <f t="shared" si="1"/>
        <v>6.6976941193589351E-2</v>
      </c>
    </row>
    <row r="94" spans="2:11" x14ac:dyDescent="0.2">
      <c r="B94" t="s">
        <v>102</v>
      </c>
      <c r="C94">
        <v>203473.88542700044</v>
      </c>
      <c r="G94" s="1">
        <v>42917</v>
      </c>
      <c r="H94">
        <v>113.8</v>
      </c>
      <c r="I94">
        <v>43306.984298902797</v>
      </c>
      <c r="J94">
        <v>263.12345997000187</v>
      </c>
      <c r="K94">
        <f t="shared" si="1"/>
        <v>0.60757742481890675</v>
      </c>
    </row>
    <row r="95" spans="2:11" x14ac:dyDescent="0.2">
      <c r="B95" t="s">
        <v>103</v>
      </c>
      <c r="C95">
        <v>212953.65147785094</v>
      </c>
      <c r="G95" s="1">
        <v>42948</v>
      </c>
      <c r="H95">
        <v>113.9</v>
      </c>
      <c r="I95">
        <v>43706.220389957183</v>
      </c>
      <c r="J95">
        <v>-1050.37494083</v>
      </c>
      <c r="K95">
        <f t="shared" si="1"/>
        <v>-2.4032618960374692</v>
      </c>
    </row>
    <row r="96" spans="2:11" x14ac:dyDescent="0.2">
      <c r="B96" t="s">
        <v>104</v>
      </c>
      <c r="C96">
        <v>214033.10404445798</v>
      </c>
      <c r="G96" s="1">
        <v>42979</v>
      </c>
      <c r="H96">
        <v>112.1</v>
      </c>
      <c r="I96">
        <v>43278.46443863208</v>
      </c>
      <c r="J96">
        <v>-1237.9091127800009</v>
      </c>
      <c r="K96">
        <f t="shared" si="1"/>
        <v>-2.8603351085511113</v>
      </c>
    </row>
    <row r="97" spans="1:11" x14ac:dyDescent="0.2">
      <c r="B97" t="s">
        <v>105</v>
      </c>
      <c r="C97">
        <v>213508.29636912627</v>
      </c>
      <c r="G97" s="1">
        <v>43009</v>
      </c>
      <c r="H97">
        <v>113.6</v>
      </c>
      <c r="I97">
        <v>44031.755265831031</v>
      </c>
      <c r="J97">
        <v>779.07269230999918</v>
      </c>
      <c r="K97">
        <f t="shared" si="1"/>
        <v>1.7693428018177721</v>
      </c>
    </row>
    <row r="98" spans="1:11" x14ac:dyDescent="0.2">
      <c r="B98" t="s">
        <v>106</v>
      </c>
      <c r="C98">
        <v>219181.96223900261</v>
      </c>
      <c r="G98" s="1">
        <v>43040</v>
      </c>
      <c r="H98">
        <v>116.9</v>
      </c>
      <c r="I98">
        <v>45361.910573061788</v>
      </c>
      <c r="J98">
        <v>-1196.09149938</v>
      </c>
      <c r="K98">
        <f t="shared" si="1"/>
        <v>-2.6367749600262647</v>
      </c>
    </row>
    <row r="99" spans="1:11" x14ac:dyDescent="0.2">
      <c r="B99" t="s">
        <v>107</v>
      </c>
      <c r="C99">
        <v>231539.93817577083</v>
      </c>
      <c r="G99" s="1">
        <v>43070</v>
      </c>
      <c r="H99">
        <v>122.6</v>
      </c>
      <c r="I99">
        <v>47488.956955803951</v>
      </c>
      <c r="J99">
        <v>-5317.8946986600022</v>
      </c>
      <c r="K99">
        <f t="shared" si="1"/>
        <v>-11.198171195061519</v>
      </c>
    </row>
    <row r="100" spans="1:11" x14ac:dyDescent="0.2">
      <c r="B100" t="s">
        <v>108</v>
      </c>
      <c r="C100">
        <v>231004.36371570244</v>
      </c>
      <c r="G100" s="1">
        <v>43101</v>
      </c>
      <c r="H100">
        <v>117.7</v>
      </c>
      <c r="I100">
        <v>45370.269651508323</v>
      </c>
      <c r="J100">
        <v>1666.47242742</v>
      </c>
      <c r="K100">
        <f t="shared" si="1"/>
        <v>3.6730494224968719</v>
      </c>
    </row>
    <row r="101" spans="1:11" x14ac:dyDescent="0.2">
      <c r="B101" t="s">
        <v>109</v>
      </c>
      <c r="C101">
        <v>231094.42512312494</v>
      </c>
      <c r="G101" s="1">
        <v>43132</v>
      </c>
      <c r="H101">
        <v>117.8</v>
      </c>
      <c r="I101">
        <v>45171.148278444736</v>
      </c>
      <c r="J101">
        <v>-587.20564136999928</v>
      </c>
      <c r="K101">
        <f t="shared" si="1"/>
        <v>-1.2999573040524375</v>
      </c>
    </row>
    <row r="102" spans="1:11" x14ac:dyDescent="0.2">
      <c r="B102" t="s">
        <v>110</v>
      </c>
      <c r="C102">
        <v>234696.03412158843</v>
      </c>
      <c r="G102" s="1">
        <v>43160</v>
      </c>
      <c r="H102">
        <v>121.7</v>
      </c>
      <c r="I102">
        <v>46403.716592164383</v>
      </c>
      <c r="J102">
        <v>174.3408753100002</v>
      </c>
      <c r="K102">
        <f t="shared" si="1"/>
        <v>0.37570455151740795</v>
      </c>
    </row>
    <row r="103" spans="1:11" x14ac:dyDescent="0.2">
      <c r="G103" s="1">
        <v>43191</v>
      </c>
      <c r="H103">
        <v>119.5</v>
      </c>
      <c r="I103">
        <v>45289.082481591184</v>
      </c>
      <c r="J103">
        <v>563.86316228999749</v>
      </c>
      <c r="K103">
        <f t="shared" si="1"/>
        <v>1.2450311010809127</v>
      </c>
    </row>
    <row r="104" spans="1:11" x14ac:dyDescent="0.2">
      <c r="G104" s="1">
        <v>43221</v>
      </c>
      <c r="H104">
        <v>118.7</v>
      </c>
      <c r="I104">
        <v>44968.508020614419</v>
      </c>
      <c r="J104">
        <v>-933.55713507999826</v>
      </c>
      <c r="K104">
        <f t="shared" si="1"/>
        <v>-2.076024258247656</v>
      </c>
    </row>
    <row r="105" spans="1:11" x14ac:dyDescent="0.2">
      <c r="G105" s="1">
        <v>43252</v>
      </c>
      <c r="H105">
        <v>116.4</v>
      </c>
      <c r="I105">
        <v>44330.022523458945</v>
      </c>
      <c r="J105">
        <v>-1493.7590117699999</v>
      </c>
      <c r="K105">
        <f t="shared" si="1"/>
        <v>-3.3696328734764789</v>
      </c>
    </row>
    <row r="106" spans="1:11" x14ac:dyDescent="0.2">
      <c r="G106" s="1">
        <v>43282</v>
      </c>
      <c r="H106">
        <v>118.2</v>
      </c>
      <c r="I106">
        <v>45500.83433781685</v>
      </c>
      <c r="J106">
        <v>114.1530734400003</v>
      </c>
      <c r="K106">
        <f t="shared" si="1"/>
        <v>0.25088127525856135</v>
      </c>
    </row>
    <row r="107" spans="1:11" x14ac:dyDescent="0.2">
      <c r="G107" s="1">
        <v>43313</v>
      </c>
      <c r="H107">
        <v>118</v>
      </c>
      <c r="I107">
        <v>45824.312264446926</v>
      </c>
      <c r="J107">
        <v>-1708.64472957</v>
      </c>
      <c r="K107">
        <f t="shared" si="1"/>
        <v>-3.7286860296115401</v>
      </c>
    </row>
    <row r="108" spans="1:11" x14ac:dyDescent="0.2">
      <c r="G108" s="1">
        <v>43344</v>
      </c>
      <c r="H108">
        <v>115.4</v>
      </c>
      <c r="I108">
        <v>45124.250320002342</v>
      </c>
      <c r="J108">
        <v>-1526.053190490001</v>
      </c>
      <c r="K108">
        <f t="shared" si="1"/>
        <v>-3.3818915099261901</v>
      </c>
    </row>
    <row r="109" spans="1:11" x14ac:dyDescent="0.2">
      <c r="G109" s="1">
        <v>43374</v>
      </c>
      <c r="H109">
        <v>118.1</v>
      </c>
      <c r="I109">
        <v>46414.800741483385</v>
      </c>
      <c r="J109">
        <v>573.92275787999915</v>
      </c>
      <c r="K109">
        <f t="shared" si="1"/>
        <v>1.236508072234497</v>
      </c>
    </row>
    <row r="110" spans="1:11" x14ac:dyDescent="0.2">
      <c r="G110" s="1">
        <v>43405</v>
      </c>
      <c r="H110">
        <v>121.2</v>
      </c>
      <c r="I110">
        <v>47727.232709045347</v>
      </c>
      <c r="J110">
        <v>-2102.2472800100008</v>
      </c>
      <c r="K110">
        <f t="shared" si="1"/>
        <v>-4.4047122799381988</v>
      </c>
    </row>
    <row r="111" spans="1:11" x14ac:dyDescent="0.2">
      <c r="G111" s="1">
        <v>43435</v>
      </c>
      <c r="H111">
        <v>125.2</v>
      </c>
      <c r="I111">
        <v>49243.904214003313</v>
      </c>
      <c r="J111">
        <v>-5109.9030334600011</v>
      </c>
      <c r="K111">
        <f t="shared" si="1"/>
        <v>-10.376721982183769</v>
      </c>
    </row>
    <row r="112" spans="1:11" x14ac:dyDescent="0.2">
      <c r="A112" t="s">
        <v>111</v>
      </c>
      <c r="G112" s="1">
        <v>43466</v>
      </c>
      <c r="H112">
        <v>121.9</v>
      </c>
      <c r="I112">
        <v>47732.4169344416</v>
      </c>
      <c r="J112">
        <v>1054.8585207599999</v>
      </c>
      <c r="K112">
        <f t="shared" si="1"/>
        <v>2.2099415627932739</v>
      </c>
    </row>
    <row r="113" spans="1:11" x14ac:dyDescent="0.2">
      <c r="A113" t="s">
        <v>111</v>
      </c>
      <c r="G113" s="1">
        <v>43497</v>
      </c>
      <c r="H113">
        <v>122.7</v>
      </c>
      <c r="I113">
        <v>47958.021725910723</v>
      </c>
      <c r="J113">
        <v>-1143.0959648099999</v>
      </c>
      <c r="K113">
        <f t="shared" si="1"/>
        <v>-2.3835344404800769</v>
      </c>
    </row>
    <row r="114" spans="1:11" x14ac:dyDescent="0.2">
      <c r="G114" s="1">
        <v>43525</v>
      </c>
      <c r="H114">
        <v>125.9</v>
      </c>
      <c r="I114">
        <v>49250.274507181479</v>
      </c>
      <c r="J114">
        <v>-444.20462219999899</v>
      </c>
      <c r="K114">
        <f t="shared" si="1"/>
        <v>-0.90193329203723893</v>
      </c>
    </row>
    <row r="115" spans="1:11" x14ac:dyDescent="0.2">
      <c r="G115" s="1">
        <v>43556</v>
      </c>
      <c r="H115">
        <v>124</v>
      </c>
      <c r="I115">
        <v>48680.752999408869</v>
      </c>
      <c r="J115">
        <v>-781.27959676999944</v>
      </c>
      <c r="K115">
        <f t="shared" si="1"/>
        <v>-1.6049045025648772</v>
      </c>
    </row>
    <row r="116" spans="1:11" x14ac:dyDescent="0.2">
      <c r="G116" s="1">
        <v>43586</v>
      </c>
      <c r="H116">
        <v>123.7</v>
      </c>
      <c r="I116">
        <v>48812.264803627884</v>
      </c>
      <c r="J116">
        <v>-918.70144535000054</v>
      </c>
      <c r="K116">
        <f t="shared" si="1"/>
        <v>-1.8821119016827912</v>
      </c>
    </row>
    <row r="117" spans="1:11" x14ac:dyDescent="0.2">
      <c r="G117" s="1">
        <v>43617</v>
      </c>
      <c r="H117">
        <v>120.5</v>
      </c>
      <c r="I117">
        <v>47866.209837356524</v>
      </c>
      <c r="J117">
        <v>-2215.3961581099989</v>
      </c>
      <c r="K117">
        <f t="shared" si="1"/>
        <v>-4.6283091258690456</v>
      </c>
    </row>
    <row r="118" spans="1:11" x14ac:dyDescent="0.2">
      <c r="G118" s="1">
        <v>43647</v>
      </c>
      <c r="H118">
        <v>123</v>
      </c>
      <c r="I118">
        <v>49255.940618740075</v>
      </c>
      <c r="J118">
        <v>351.24292728999808</v>
      </c>
      <c r="K118">
        <f t="shared" si="1"/>
        <v>0.71309759366642378</v>
      </c>
    </row>
    <row r="119" spans="1:11" x14ac:dyDescent="0.2">
      <c r="G119" s="1">
        <v>43678</v>
      </c>
      <c r="H119">
        <v>122</v>
      </c>
      <c r="I119">
        <v>49240.008323254049</v>
      </c>
      <c r="J119">
        <v>-1871.0208044099991</v>
      </c>
      <c r="K119">
        <f t="shared" si="1"/>
        <v>-3.7997979044337251</v>
      </c>
    </row>
    <row r="120" spans="1:11" x14ac:dyDescent="0.2">
      <c r="G120" s="1">
        <v>43709</v>
      </c>
      <c r="H120">
        <v>120.8</v>
      </c>
      <c r="I120">
        <v>49127.671492357797</v>
      </c>
      <c r="J120">
        <v>-1919.505329419999</v>
      </c>
      <c r="K120">
        <f t="shared" si="1"/>
        <v>-3.9071775052855773</v>
      </c>
    </row>
    <row r="121" spans="1:11" x14ac:dyDescent="0.2">
      <c r="G121" s="1">
        <v>43739</v>
      </c>
      <c r="H121">
        <v>122.9</v>
      </c>
      <c r="I121">
        <v>50351.356250884972</v>
      </c>
      <c r="J121">
        <v>561.59895384999982</v>
      </c>
      <c r="K121">
        <f t="shared" si="1"/>
        <v>1.1153601326084026</v>
      </c>
    </row>
    <row r="122" spans="1:11" x14ac:dyDescent="0.2">
      <c r="G122" s="1">
        <v>43770</v>
      </c>
      <c r="H122">
        <v>127.1</v>
      </c>
      <c r="I122">
        <v>52189.688734935415</v>
      </c>
      <c r="J122">
        <v>-1733.2204952</v>
      </c>
      <c r="K122">
        <f t="shared" si="1"/>
        <v>-3.3210017863927099</v>
      </c>
    </row>
    <row r="123" spans="1:11" x14ac:dyDescent="0.2">
      <c r="G123" s="1">
        <v>43800</v>
      </c>
      <c r="H123">
        <v>130.69999999999999</v>
      </c>
      <c r="I123">
        <v>53507.413648698646</v>
      </c>
      <c r="J123">
        <v>-4222.7759856300017</v>
      </c>
      <c r="K123">
        <f t="shared" si="1"/>
        <v>-7.8919456159000951</v>
      </c>
    </row>
    <row r="124" spans="1:11" x14ac:dyDescent="0.2">
      <c r="G124" s="1">
        <v>43831</v>
      </c>
      <c r="H124">
        <v>127.1</v>
      </c>
      <c r="I124">
        <v>51596.068553453792</v>
      </c>
      <c r="J124">
        <v>1446.39001205</v>
      </c>
      <c r="K124">
        <f t="shared" si="1"/>
        <v>2.8032950040593354</v>
      </c>
    </row>
    <row r="125" spans="1:11" x14ac:dyDescent="0.2">
      <c r="G125" s="1">
        <v>43862</v>
      </c>
      <c r="H125">
        <v>125.5</v>
      </c>
      <c r="I125">
        <v>50735.466978025644</v>
      </c>
      <c r="J125">
        <v>-524.05327094000131</v>
      </c>
      <c r="K125">
        <f t="shared" si="1"/>
        <v>-1.0329130727563369</v>
      </c>
    </row>
    <row r="126" spans="1:11" x14ac:dyDescent="0.2">
      <c r="G126" s="1">
        <v>43891</v>
      </c>
      <c r="H126">
        <v>120.9</v>
      </c>
      <c r="I126">
        <v>48882.661092520902</v>
      </c>
      <c r="J126">
        <v>-2306.5938638799989</v>
      </c>
      <c r="K126">
        <f t="shared" si="1"/>
        <v>-4.7186339948111176</v>
      </c>
    </row>
    <row r="127" spans="1:11" x14ac:dyDescent="0.2">
      <c r="G127" s="1">
        <v>43922</v>
      </c>
      <c r="H127">
        <v>112.1</v>
      </c>
      <c r="I127">
        <v>45518.669702354564</v>
      </c>
      <c r="J127">
        <v>810.82356136999988</v>
      </c>
      <c r="K127">
        <f t="shared" si="1"/>
        <v>1.781298897072245</v>
      </c>
    </row>
    <row r="128" spans="1:11" x14ac:dyDescent="0.2">
      <c r="G128" s="1">
        <v>43952</v>
      </c>
      <c r="H128">
        <v>111</v>
      </c>
      <c r="I128">
        <v>45331.475926054147</v>
      </c>
      <c r="J128">
        <v>-3854.2113863099989</v>
      </c>
      <c r="K128">
        <f t="shared" si="1"/>
        <v>-8.5022852390623385</v>
      </c>
    </row>
    <row r="129" spans="7:11" x14ac:dyDescent="0.2">
      <c r="G129" s="1">
        <v>43983</v>
      </c>
      <c r="H129">
        <v>111</v>
      </c>
      <c r="I129">
        <v>45657.599321599351</v>
      </c>
      <c r="J129">
        <v>-4954.2276757299987</v>
      </c>
      <c r="K129">
        <f t="shared" si="1"/>
        <v>-10.850828228689393</v>
      </c>
    </row>
    <row r="130" spans="7:11" x14ac:dyDescent="0.2">
      <c r="G130" s="1">
        <v>44013</v>
      </c>
      <c r="H130">
        <v>118.2</v>
      </c>
      <c r="I130">
        <v>49037.432026038157</v>
      </c>
      <c r="J130">
        <v>-1737.1059310300011</v>
      </c>
      <c r="K130">
        <f t="shared" si="1"/>
        <v>-3.5424080325161063</v>
      </c>
    </row>
    <row r="131" spans="7:11" x14ac:dyDescent="0.2">
      <c r="G131" s="1">
        <v>44044</v>
      </c>
      <c r="H131">
        <v>120.6</v>
      </c>
      <c r="I131">
        <v>50271.86166454776</v>
      </c>
      <c r="J131">
        <v>-4223.5100027499993</v>
      </c>
      <c r="K131">
        <f t="shared" si="1"/>
        <v>-8.4013399601798771</v>
      </c>
    </row>
    <row r="132" spans="7:11" x14ac:dyDescent="0.2">
      <c r="G132" s="1">
        <v>44075</v>
      </c>
      <c r="H132">
        <v>121.8</v>
      </c>
      <c r="I132">
        <v>50819.46893897983</v>
      </c>
      <c r="J132">
        <v>-4085.939413319998</v>
      </c>
      <c r="K132">
        <f t="shared" si="1"/>
        <v>-8.0401064761736976</v>
      </c>
    </row>
    <row r="133" spans="7:11" x14ac:dyDescent="0.2">
      <c r="G133" s="1">
        <v>44105</v>
      </c>
      <c r="H133">
        <v>125.7</v>
      </c>
      <c r="I133">
        <v>52293.676262644047</v>
      </c>
      <c r="J133">
        <v>67.211996360001649</v>
      </c>
      <c r="K133">
        <f t="shared" ref="K133:K194" si="2">J133/I133*100</f>
        <v>0.12852796200907851</v>
      </c>
    </row>
    <row r="134" spans="7:11" x14ac:dyDescent="0.2">
      <c r="G134" s="1">
        <v>44136</v>
      </c>
      <c r="H134">
        <v>128.69999999999999</v>
      </c>
      <c r="I134">
        <v>53467.415400462916</v>
      </c>
      <c r="J134">
        <v>-3187.8839343600011</v>
      </c>
      <c r="K134">
        <f t="shared" si="2"/>
        <v>-5.9622929413797712</v>
      </c>
    </row>
    <row r="135" spans="7:11" x14ac:dyDescent="0.2">
      <c r="G135" s="1">
        <v>44166</v>
      </c>
      <c r="H135">
        <v>136</v>
      </c>
      <c r="I135">
        <v>56510.705055821316</v>
      </c>
      <c r="J135">
        <v>-6914.2878767099974</v>
      </c>
      <c r="K135">
        <f t="shared" si="2"/>
        <v>-12.235359424165845</v>
      </c>
    </row>
    <row r="136" spans="7:11" x14ac:dyDescent="0.2">
      <c r="G136" s="1">
        <v>44197</v>
      </c>
      <c r="H136">
        <v>128.80000000000001</v>
      </c>
      <c r="I136">
        <v>53618.130120475987</v>
      </c>
      <c r="J136">
        <v>1543.245230660001</v>
      </c>
      <c r="K136">
        <f t="shared" si="2"/>
        <v>2.8782153111129438</v>
      </c>
    </row>
    <row r="137" spans="7:11" x14ac:dyDescent="0.2">
      <c r="G137" s="1">
        <v>44228</v>
      </c>
      <c r="H137">
        <v>128.5</v>
      </c>
      <c r="I137">
        <v>53565.056232326082</v>
      </c>
      <c r="J137">
        <v>-499.45946723999992</v>
      </c>
      <c r="K137">
        <f t="shared" si="2"/>
        <v>-0.93243525232888702</v>
      </c>
    </row>
    <row r="138" spans="7:11" x14ac:dyDescent="0.2">
      <c r="G138" s="1">
        <v>44256</v>
      </c>
      <c r="H138">
        <v>133</v>
      </c>
      <c r="I138">
        <v>55487.194520954137</v>
      </c>
      <c r="J138">
        <v>649.23105266000039</v>
      </c>
      <c r="K138">
        <f t="shared" si="2"/>
        <v>1.1700556466498324</v>
      </c>
    </row>
    <row r="139" spans="7:11" x14ac:dyDescent="0.2">
      <c r="G139" s="1">
        <v>44287</v>
      </c>
      <c r="H139">
        <v>129.4</v>
      </c>
      <c r="I139">
        <v>54002.146055979174</v>
      </c>
      <c r="J139">
        <v>-600.33953197000119</v>
      </c>
      <c r="K139">
        <f t="shared" si="2"/>
        <v>-1.1116956932557516</v>
      </c>
    </row>
    <row r="140" spans="7:11" x14ac:dyDescent="0.2">
      <c r="G140" s="1">
        <v>44317</v>
      </c>
      <c r="H140">
        <v>129.4</v>
      </c>
      <c r="I140">
        <v>54191.02560248995</v>
      </c>
      <c r="J140">
        <v>-1532.72454081</v>
      </c>
      <c r="K140">
        <f t="shared" si="2"/>
        <v>-2.8283733769002053</v>
      </c>
    </row>
    <row r="141" spans="7:11" x14ac:dyDescent="0.2">
      <c r="G141" s="1">
        <v>44348</v>
      </c>
      <c r="H141">
        <v>127.1</v>
      </c>
      <c r="I141">
        <v>53582.299518297499</v>
      </c>
      <c r="J141">
        <v>-1317.4599045</v>
      </c>
      <c r="K141">
        <f t="shared" si="2"/>
        <v>-2.4587595462380416</v>
      </c>
    </row>
    <row r="142" spans="7:11" x14ac:dyDescent="0.2">
      <c r="G142" s="1">
        <v>44378</v>
      </c>
      <c r="H142">
        <v>131</v>
      </c>
      <c r="I142">
        <v>55762.857196587349</v>
      </c>
      <c r="J142">
        <v>530.8554706199975</v>
      </c>
      <c r="K142">
        <f t="shared" si="2"/>
        <v>0.95198757256736399</v>
      </c>
    </row>
    <row r="143" spans="7:11" x14ac:dyDescent="0.2">
      <c r="G143" s="1">
        <v>44409</v>
      </c>
      <c r="H143">
        <v>130</v>
      </c>
      <c r="I143">
        <v>55717.469678609756</v>
      </c>
      <c r="J143">
        <v>-1317.6003476499991</v>
      </c>
      <c r="K143">
        <f t="shared" si="2"/>
        <v>-2.3647885577902206</v>
      </c>
    </row>
    <row r="144" spans="7:11" x14ac:dyDescent="0.2">
      <c r="G144" s="1">
        <v>44440</v>
      </c>
      <c r="H144">
        <v>129.1</v>
      </c>
      <c r="I144">
        <v>55559.555142033867</v>
      </c>
      <c r="J144">
        <v>-1002.42141989</v>
      </c>
      <c r="K144">
        <f t="shared" si="2"/>
        <v>-1.8042286647677153</v>
      </c>
    </row>
    <row r="145" spans="7:11" x14ac:dyDescent="0.2">
      <c r="G145" s="1">
        <v>44470</v>
      </c>
      <c r="H145">
        <v>131.4</v>
      </c>
      <c r="I145">
        <v>56629.822971299902</v>
      </c>
      <c r="J145">
        <v>2986.4194399499988</v>
      </c>
      <c r="K145">
        <f t="shared" si="2"/>
        <v>5.2735807446608511</v>
      </c>
    </row>
    <row r="146" spans="7:11" x14ac:dyDescent="0.2">
      <c r="G146" s="1">
        <v>44501</v>
      </c>
      <c r="H146">
        <v>136.69999999999999</v>
      </c>
      <c r="I146">
        <v>59096.869645264145</v>
      </c>
      <c r="J146">
        <v>-3615.7884874700012</v>
      </c>
      <c r="K146">
        <f t="shared" si="2"/>
        <v>-6.1184095015086131</v>
      </c>
    </row>
    <row r="147" spans="7:11" x14ac:dyDescent="0.2">
      <c r="G147" s="1">
        <v>44531</v>
      </c>
      <c r="H147">
        <v>141.5</v>
      </c>
      <c r="I147">
        <v>61468.107415244202</v>
      </c>
      <c r="J147">
        <v>-3594.7740070800041</v>
      </c>
      <c r="K147">
        <f t="shared" si="2"/>
        <v>-5.8481937353231306</v>
      </c>
    </row>
    <row r="148" spans="7:11" x14ac:dyDescent="0.2">
      <c r="G148" s="1">
        <v>44562</v>
      </c>
      <c r="H148">
        <v>134.80000000000001</v>
      </c>
      <c r="I148">
        <v>58945.076178005511</v>
      </c>
      <c r="J148">
        <v>1914.2484374700009</v>
      </c>
      <c r="K148">
        <f t="shared" si="2"/>
        <v>3.2475120257530086</v>
      </c>
    </row>
    <row r="149" spans="7:11" x14ac:dyDescent="0.2">
      <c r="G149" s="1">
        <v>44593</v>
      </c>
      <c r="H149">
        <v>134.30000000000001</v>
      </c>
      <c r="I149">
        <v>59007.280373312322</v>
      </c>
      <c r="J149">
        <v>-1381.409048209998</v>
      </c>
      <c r="K149">
        <f t="shared" si="2"/>
        <v>-2.3410823875807338</v>
      </c>
    </row>
    <row r="150" spans="7:11" x14ac:dyDescent="0.2">
      <c r="G150" s="1">
        <v>44621</v>
      </c>
      <c r="H150">
        <v>139.1</v>
      </c>
      <c r="I150">
        <v>61298.58528777444</v>
      </c>
      <c r="J150">
        <v>664.42532067999582</v>
      </c>
      <c r="K150">
        <f t="shared" si="2"/>
        <v>1.0839162397643631</v>
      </c>
    </row>
    <row r="151" spans="7:11" x14ac:dyDescent="0.2">
      <c r="G151" s="1">
        <v>44652</v>
      </c>
      <c r="H151">
        <v>135.80000000000001</v>
      </c>
      <c r="I151">
        <v>59912.588275835522</v>
      </c>
      <c r="J151">
        <v>1029.3593508500001</v>
      </c>
      <c r="K151">
        <f t="shared" si="2"/>
        <v>1.7181019556539012</v>
      </c>
    </row>
    <row r="152" spans="7:11" x14ac:dyDescent="0.2">
      <c r="G152" s="1">
        <v>44682</v>
      </c>
      <c r="H152">
        <v>136.1</v>
      </c>
      <c r="I152">
        <v>60372.132895760864</v>
      </c>
      <c r="J152">
        <v>-1963.784299260001</v>
      </c>
      <c r="K152">
        <f t="shared" si="2"/>
        <v>-3.2527992718936916</v>
      </c>
    </row>
    <row r="153" spans="7:11" x14ac:dyDescent="0.2">
      <c r="G153" s="1">
        <v>44713</v>
      </c>
      <c r="H153">
        <v>132.6</v>
      </c>
      <c r="I153">
        <v>59391.049575068653</v>
      </c>
      <c r="J153">
        <v>-1695.962518630005</v>
      </c>
      <c r="K153">
        <f t="shared" si="2"/>
        <v>-2.8555860365564931</v>
      </c>
    </row>
    <row r="154" spans="7:11" x14ac:dyDescent="0.2">
      <c r="G154" s="1">
        <v>44743</v>
      </c>
      <c r="H154">
        <v>135.5</v>
      </c>
      <c r="I154">
        <v>61525.496714657587</v>
      </c>
      <c r="J154">
        <v>955.02463625999735</v>
      </c>
      <c r="K154">
        <f t="shared" si="2"/>
        <v>1.5522420577751728</v>
      </c>
    </row>
    <row r="155" spans="7:11" x14ac:dyDescent="0.2">
      <c r="G155" s="1">
        <v>44774</v>
      </c>
      <c r="H155">
        <v>136</v>
      </c>
      <c r="I155">
        <v>62341.533818939599</v>
      </c>
      <c r="J155">
        <v>-1813.6479034299989</v>
      </c>
      <c r="K155">
        <f t="shared" si="2"/>
        <v>-2.9092128350538045</v>
      </c>
    </row>
    <row r="156" spans="7:11" x14ac:dyDescent="0.2">
      <c r="G156" s="1">
        <v>44805</v>
      </c>
      <c r="H156">
        <v>134.1</v>
      </c>
      <c r="I156">
        <v>61804.316752150291</v>
      </c>
      <c r="J156">
        <v>-2049.4253175800009</v>
      </c>
      <c r="K156">
        <f t="shared" si="2"/>
        <v>-3.3159905736013129</v>
      </c>
    </row>
    <row r="157" spans="7:11" x14ac:dyDescent="0.2">
      <c r="G157" s="1">
        <v>44835</v>
      </c>
      <c r="H157">
        <v>136.30000000000001</v>
      </c>
      <c r="I157">
        <v>62909.872609732382</v>
      </c>
      <c r="J157">
        <v>958.38194716999351</v>
      </c>
      <c r="K157">
        <f t="shared" si="2"/>
        <v>1.5234205815602437</v>
      </c>
    </row>
    <row r="158" spans="7:11" x14ac:dyDescent="0.2">
      <c r="G158" s="1">
        <v>44866</v>
      </c>
      <c r="H158">
        <v>141.19999999999999</v>
      </c>
      <c r="I158">
        <v>65411.950922338023</v>
      </c>
      <c r="J158">
        <v>-3167.0068462099989</v>
      </c>
      <c r="K158">
        <f t="shared" si="2"/>
        <v>-4.8416333736477402</v>
      </c>
    </row>
    <row r="159" spans="7:11" x14ac:dyDescent="0.2">
      <c r="G159" s="1">
        <v>44896</v>
      </c>
      <c r="H159">
        <v>146.19999999999999</v>
      </c>
      <c r="I159">
        <v>68133.339734392532</v>
      </c>
      <c r="J159">
        <v>-6011.9146731749879</v>
      </c>
      <c r="K159">
        <f t="shared" si="2"/>
        <v>-8.8237486913330887</v>
      </c>
    </row>
    <row r="160" spans="7:11" x14ac:dyDescent="0.2">
      <c r="G160" s="1">
        <v>44927</v>
      </c>
      <c r="H160">
        <v>139.4</v>
      </c>
      <c r="I160">
        <v>65504.7417918383</v>
      </c>
      <c r="J160">
        <v>2135.5212268999999</v>
      </c>
      <c r="K160">
        <f t="shared" si="2"/>
        <v>3.2601017399416414</v>
      </c>
    </row>
    <row r="161" spans="7:11" x14ac:dyDescent="0.2">
      <c r="G161" s="1">
        <v>44958</v>
      </c>
      <c r="H161">
        <v>140.69999999999999</v>
      </c>
      <c r="I161">
        <v>66495.402715048942</v>
      </c>
      <c r="J161">
        <v>-2539.140220429998</v>
      </c>
      <c r="K161">
        <f t="shared" si="2"/>
        <v>-3.8185199528919482</v>
      </c>
    </row>
    <row r="162" spans="7:11" x14ac:dyDescent="0.2">
      <c r="G162" s="1">
        <v>44986</v>
      </c>
      <c r="H162">
        <v>144.69999999999999</v>
      </c>
      <c r="I162">
        <v>68604.453251147279</v>
      </c>
      <c r="J162">
        <v>247.03300325000239</v>
      </c>
      <c r="K162">
        <f t="shared" si="2"/>
        <v>0.36008304350981946</v>
      </c>
    </row>
    <row r="163" spans="7:11" x14ac:dyDescent="0.2">
      <c r="G163" s="1">
        <v>45017</v>
      </c>
      <c r="H163">
        <v>140.5</v>
      </c>
      <c r="I163">
        <v>66653.754695005002</v>
      </c>
      <c r="J163">
        <v>-385.24106259000109</v>
      </c>
      <c r="K163">
        <f t="shared" si="2"/>
        <v>-0.57797353555368558</v>
      </c>
    </row>
    <row r="164" spans="7:11" x14ac:dyDescent="0.2">
      <c r="G164" s="1">
        <v>45047</v>
      </c>
      <c r="H164">
        <v>141.5</v>
      </c>
      <c r="I164">
        <v>67244.33775570571</v>
      </c>
      <c r="J164">
        <v>-1993.496024379996</v>
      </c>
      <c r="K164">
        <f t="shared" si="2"/>
        <v>-2.9645559624993809</v>
      </c>
    </row>
    <row r="165" spans="7:11" x14ac:dyDescent="0.2">
      <c r="G165" s="1">
        <v>45078</v>
      </c>
      <c r="H165">
        <v>139.5</v>
      </c>
      <c r="I165">
        <v>66483.194214254589</v>
      </c>
      <c r="J165">
        <v>-2054.6467418700081</v>
      </c>
      <c r="K165">
        <f t="shared" si="2"/>
        <v>-3.0904753692316929</v>
      </c>
    </row>
    <row r="166" spans="7:11" x14ac:dyDescent="0.2">
      <c r="G166" s="1">
        <v>45108</v>
      </c>
      <c r="H166">
        <v>142.5</v>
      </c>
      <c r="I166">
        <v>68181.615758391883</v>
      </c>
      <c r="J166">
        <v>724.89499476000856</v>
      </c>
      <c r="K166">
        <f t="shared" si="2"/>
        <v>1.0631824821059443</v>
      </c>
    </row>
    <row r="167" spans="7:11" x14ac:dyDescent="0.2">
      <c r="G167" s="1">
        <v>45139</v>
      </c>
      <c r="H167">
        <v>141</v>
      </c>
      <c r="I167">
        <v>67901.316465127558</v>
      </c>
      <c r="J167">
        <v>-1539.5688588000189</v>
      </c>
      <c r="K167">
        <f t="shared" si="2"/>
        <v>-2.2673623118790389</v>
      </c>
    </row>
    <row r="168" spans="7:11" x14ac:dyDescent="0.2">
      <c r="G168" s="1">
        <v>45170</v>
      </c>
      <c r="H168">
        <v>138.69999999999999</v>
      </c>
      <c r="I168">
        <v>67390.953203481011</v>
      </c>
      <c r="J168">
        <v>-1378.154766489979</v>
      </c>
      <c r="K168">
        <f t="shared" si="2"/>
        <v>-2.0450145026570001</v>
      </c>
    </row>
    <row r="169" spans="7:11" x14ac:dyDescent="0.2">
      <c r="G169" s="1">
        <v>45200</v>
      </c>
      <c r="H169">
        <v>137.9</v>
      </c>
      <c r="I169">
        <v>67759.363394847387</v>
      </c>
      <c r="J169">
        <v>3066.9583096099982</v>
      </c>
      <c r="K169">
        <f t="shared" si="2"/>
        <v>4.5262501829278081</v>
      </c>
    </row>
    <row r="170" spans="7:11" x14ac:dyDescent="0.2">
      <c r="G170" s="1">
        <v>45231</v>
      </c>
      <c r="H170">
        <v>144.5</v>
      </c>
      <c r="I170">
        <v>71421.589860732623</v>
      </c>
      <c r="J170">
        <v>-2899.7948563999912</v>
      </c>
      <c r="K170">
        <f t="shared" si="2"/>
        <v>-4.0601096419925673</v>
      </c>
    </row>
    <row r="171" spans="7:11" x14ac:dyDescent="0.2">
      <c r="G171" s="1">
        <v>45261</v>
      </c>
      <c r="H171">
        <v>149.19999999999999</v>
      </c>
      <c r="I171">
        <v>73772.698222270919</v>
      </c>
      <c r="J171">
        <v>-3614.954752040027</v>
      </c>
      <c r="K171">
        <f t="shared" si="2"/>
        <v>-4.9001254382054364</v>
      </c>
    </row>
    <row r="172" spans="7:11" x14ac:dyDescent="0.2">
      <c r="G172" s="1">
        <v>45292</v>
      </c>
      <c r="H172">
        <v>144.69999999999999</v>
      </c>
      <c r="I172">
        <v>71169.503863221529</v>
      </c>
      <c r="J172">
        <v>2269.0783573699991</v>
      </c>
      <c r="K172">
        <f t="shared" si="2"/>
        <v>3.1882733954853339</v>
      </c>
    </row>
    <row r="173" spans="7:11" x14ac:dyDescent="0.2">
      <c r="G173" s="1">
        <v>45323</v>
      </c>
      <c r="H173">
        <v>144.5</v>
      </c>
      <c r="I173">
        <v>70754.579956462068</v>
      </c>
      <c r="J173">
        <v>-591.07685262999894</v>
      </c>
      <c r="K173">
        <f t="shared" si="2"/>
        <v>-0.83539023621327491</v>
      </c>
    </row>
    <row r="174" spans="7:11" x14ac:dyDescent="0.2">
      <c r="G174" s="1">
        <v>45352</v>
      </c>
      <c r="H174">
        <v>147.80000000000001</v>
      </c>
      <c r="I174">
        <v>72109.020224774387</v>
      </c>
      <c r="J174">
        <v>1560.723016490002</v>
      </c>
      <c r="K174">
        <f t="shared" si="2"/>
        <v>2.1643935968412822</v>
      </c>
    </row>
    <row r="175" spans="7:11" x14ac:dyDescent="0.2">
      <c r="G175" s="1">
        <v>45383</v>
      </c>
      <c r="H175">
        <v>146.4</v>
      </c>
      <c r="I175">
        <v>71230.249462556763</v>
      </c>
      <c r="J175">
        <v>2788.3457993900029</v>
      </c>
      <c r="K175">
        <f t="shared" si="2"/>
        <v>3.9145529047399137</v>
      </c>
    </row>
    <row r="176" spans="7:11" x14ac:dyDescent="0.2">
      <c r="G176" s="1">
        <v>45413</v>
      </c>
      <c r="H176">
        <v>147.9</v>
      </c>
      <c r="I176">
        <v>72100.416306634783</v>
      </c>
      <c r="J176">
        <v>-1151.269050190007</v>
      </c>
      <c r="K176">
        <f t="shared" si="2"/>
        <v>-1.5967578401958071</v>
      </c>
    </row>
    <row r="177" spans="7:11" x14ac:dyDescent="0.2">
      <c r="G177" s="1">
        <v>45444</v>
      </c>
      <c r="H177">
        <v>143</v>
      </c>
      <c r="I177">
        <v>70177.63059993471</v>
      </c>
      <c r="J177">
        <v>-3082.258462419984</v>
      </c>
      <c r="K177">
        <f t="shared" si="2"/>
        <v>-4.3920811176871677</v>
      </c>
    </row>
    <row r="178" spans="7:11" x14ac:dyDescent="0.2">
      <c r="G178" s="1">
        <v>45474</v>
      </c>
      <c r="H178">
        <v>146.4</v>
      </c>
      <c r="I178">
        <v>72650.093049302159</v>
      </c>
      <c r="J178">
        <v>1672.964286090006</v>
      </c>
      <c r="K178">
        <f t="shared" si="2"/>
        <v>2.3027696398884046</v>
      </c>
    </row>
    <row r="179" spans="7:11" x14ac:dyDescent="0.2">
      <c r="G179" s="1">
        <v>45505</v>
      </c>
      <c r="H179">
        <v>146.30000000000001</v>
      </c>
      <c r="I179">
        <v>73387.482964691953</v>
      </c>
      <c r="J179">
        <v>-1632.884159570001</v>
      </c>
      <c r="K179">
        <f t="shared" si="2"/>
        <v>-2.2250172558113368</v>
      </c>
    </row>
    <row r="180" spans="7:11" x14ac:dyDescent="0.2">
      <c r="G180" s="1">
        <v>45536</v>
      </c>
      <c r="H180">
        <v>144.30000000000001</v>
      </c>
      <c r="I180">
        <v>73144.386225008493</v>
      </c>
      <c r="J180">
        <v>-1073.188980800023</v>
      </c>
      <c r="K180">
        <f t="shared" si="2"/>
        <v>-1.4672198868395092</v>
      </c>
    </row>
    <row r="181" spans="7:11" x14ac:dyDescent="0.2">
      <c r="G181" s="1">
        <v>45566</v>
      </c>
      <c r="H181">
        <v>147.30000000000001</v>
      </c>
      <c r="I181">
        <v>75424.797154763</v>
      </c>
      <c r="J181">
        <v>-769.17271711999274</v>
      </c>
      <c r="K181">
        <f t="shared" si="2"/>
        <v>-1.0197875846344524</v>
      </c>
    </row>
    <row r="182" spans="7:11" x14ac:dyDescent="0.2">
      <c r="G182" s="1">
        <v>45597</v>
      </c>
      <c r="H182">
        <v>149.9</v>
      </c>
      <c r="I182">
        <v>77113.670285235668</v>
      </c>
      <c r="J182">
        <v>-2565.4124727599842</v>
      </c>
      <c r="K182">
        <f t="shared" si="2"/>
        <v>-3.326793373043694</v>
      </c>
    </row>
    <row r="183" spans="7:11" x14ac:dyDescent="0.2">
      <c r="G183" s="1">
        <v>45627</v>
      </c>
      <c r="H183">
        <v>153.69999999999999</v>
      </c>
      <c r="I183">
        <v>79001.470735772149</v>
      </c>
      <c r="J183">
        <v>-5860.1352891800279</v>
      </c>
      <c r="K183">
        <f t="shared" si="2"/>
        <v>-7.4177546754538302</v>
      </c>
    </row>
    <row r="184" spans="7:11" x14ac:dyDescent="0.2">
      <c r="G184" s="1">
        <v>45658</v>
      </c>
      <c r="H184">
        <v>150.19999999999999</v>
      </c>
      <c r="I184">
        <v>76702.428991508801</v>
      </c>
      <c r="J184">
        <v>2017.9724427000001</v>
      </c>
      <c r="K184">
        <f t="shared" si="2"/>
        <v>2.6309107406799281</v>
      </c>
    </row>
    <row r="185" spans="7:11" x14ac:dyDescent="0.2">
      <c r="G185" s="1">
        <v>45689</v>
      </c>
      <c r="H185">
        <v>149.69999999999999</v>
      </c>
      <c r="I185">
        <v>76091.651514410667</v>
      </c>
      <c r="J185">
        <v>-1402.37166164</v>
      </c>
      <c r="K185">
        <f t="shared" si="2"/>
        <v>-1.8430033173539555</v>
      </c>
    </row>
    <row r="186" spans="7:11" x14ac:dyDescent="0.2">
      <c r="G186" s="1">
        <v>45717</v>
      </c>
      <c r="H186">
        <v>154.30000000000001</v>
      </c>
      <c r="I186">
        <v>78210.283209782967</v>
      </c>
      <c r="J186">
        <v>-119.73444582000231</v>
      </c>
      <c r="K186">
        <f t="shared" si="2"/>
        <v>-0.15309297052260934</v>
      </c>
    </row>
    <row r="187" spans="7:11" x14ac:dyDescent="0.2">
      <c r="G187" s="1">
        <v>45748</v>
      </c>
      <c r="H187">
        <v>152.30000000000001</v>
      </c>
      <c r="I187">
        <v>77129.257257384437</v>
      </c>
      <c r="J187">
        <v>1216.3249204299971</v>
      </c>
      <c r="K187">
        <f t="shared" si="2"/>
        <v>1.5769955055719727</v>
      </c>
    </row>
    <row r="188" spans="7:11" x14ac:dyDescent="0.2">
      <c r="G188" s="1">
        <v>45778</v>
      </c>
      <c r="H188">
        <v>154.19999999999999</v>
      </c>
      <c r="I188">
        <v>78232.839336678633</v>
      </c>
      <c r="J188">
        <v>-1422.0858616700009</v>
      </c>
      <c r="K188">
        <f t="shared" si="2"/>
        <v>-1.8177607686587838</v>
      </c>
    </row>
    <row r="189" spans="7:11" x14ac:dyDescent="0.2">
      <c r="G189" s="1">
        <v>45809</v>
      </c>
      <c r="H189">
        <v>148.6</v>
      </c>
      <c r="I189">
        <v>75732.328529061866</v>
      </c>
      <c r="J189">
        <v>-4152.5231734399922</v>
      </c>
      <c r="K189">
        <f t="shared" si="2"/>
        <v>-5.4831579248834057</v>
      </c>
    </row>
    <row r="190" spans="7:11" x14ac:dyDescent="0.2">
      <c r="G190" s="1">
        <v>45839</v>
      </c>
      <c r="H190">
        <v>153</v>
      </c>
      <c r="I190">
        <v>78528.262892533719</v>
      </c>
      <c r="J190">
        <v>556.15592144999573</v>
      </c>
      <c r="K190">
        <f t="shared" si="2"/>
        <v>0.70822389412980857</v>
      </c>
    </row>
    <row r="191" spans="7:11" x14ac:dyDescent="0.2">
      <c r="G191" s="1">
        <v>45870</v>
      </c>
      <c r="H191">
        <v>151.6</v>
      </c>
      <c r="I191">
        <v>78173.937955500514</v>
      </c>
      <c r="J191">
        <v>-2961.990250560023</v>
      </c>
      <c r="K191">
        <f t="shared" si="2"/>
        <v>-3.7889740852585638</v>
      </c>
    </row>
    <row r="192" spans="7:11" x14ac:dyDescent="0.2">
      <c r="G192" s="1">
        <v>45901</v>
      </c>
      <c r="H192">
        <v>150.9</v>
      </c>
      <c r="I192">
        <v>77993.833273554206</v>
      </c>
      <c r="J192">
        <v>-2573.825622199975</v>
      </c>
      <c r="K192">
        <f t="shared" si="2"/>
        <v>-3.3000373416351829</v>
      </c>
    </row>
    <row r="193" spans="7:11" x14ac:dyDescent="0.2">
      <c r="G193" s="1">
        <v>45931</v>
      </c>
      <c r="H193">
        <v>153</v>
      </c>
      <c r="I193">
        <f>I181*(H193/H181)</f>
        <v>78343.475659733449</v>
      </c>
      <c r="J193">
        <v>2479.322603079976</v>
      </c>
      <c r="K193">
        <f t="shared" si="2"/>
        <v>3.1646829326903161</v>
      </c>
    </row>
    <row r="194" spans="7:11" x14ac:dyDescent="0.2">
      <c r="G194" s="1">
        <v>45962</v>
      </c>
      <c r="H194">
        <v>156.30000000000001</v>
      </c>
      <c r="I194">
        <f>I182*(H194/H182)</f>
        <v>80406.048469528585</v>
      </c>
      <c r="J194">
        <v>-4335.3129750599837</v>
      </c>
      <c r="K194">
        <f t="shared" si="2"/>
        <v>-5.3917746955354158</v>
      </c>
    </row>
    <row r="195" spans="7:11" x14ac:dyDescent="0.2">
      <c r="G195" s="1">
        <v>45992</v>
      </c>
      <c r="H195">
        <v>160.9</v>
      </c>
      <c r="I195" t="s">
        <v>112</v>
      </c>
    </row>
    <row r="196" spans="7:11" x14ac:dyDescent="0.2">
      <c r="G196" s="1">
        <v>46023</v>
      </c>
      <c r="H196">
        <v>156.80000000000001</v>
      </c>
    </row>
    <row r="197" spans="7:11" x14ac:dyDescent="0.2">
      <c r="G197" s="1">
        <v>46054</v>
      </c>
    </row>
    <row r="198" spans="7:11" x14ac:dyDescent="0.2">
      <c r="G198" s="1">
        <v>46082</v>
      </c>
    </row>
  </sheetData>
  <autoFilter ref="B2:C102" xr:uid="{753C8807-45AB-E541-A5CE-088AF9A4C5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Garrido Grijalva, Paulo Augusto</cp:lastModifiedBy>
  <dcterms:created xsi:type="dcterms:W3CDTF">2026-03-09T02:36:30Z</dcterms:created>
  <dcterms:modified xsi:type="dcterms:W3CDTF">2026-03-16T02:33:24Z</dcterms:modified>
</cp:coreProperties>
</file>